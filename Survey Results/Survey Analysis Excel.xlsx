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Kennard Yeriel\Downloads\"/>
    </mc:Choice>
  </mc:AlternateContent>
  <xr:revisionPtr revIDLastSave="0" documentId="13_ncr:1_{E5E2E971-F309-4D26-BF52-9854EAC1BE47}" xr6:coauthVersionLast="47" xr6:coauthVersionMax="47" xr10:uidLastSave="{00000000-0000-0000-0000-000000000000}"/>
  <bookViews>
    <workbookView xWindow="-108" yWindow="-108" windowWidth="23256" windowHeight="12456" xr2:uid="{7ED93D24-1D2D-4ABC-9652-6A6B1C19592A}"/>
  </bookViews>
  <sheets>
    <sheet name="Dashboard" sheetId="5" r:id="rId1"/>
    <sheet name="Raw Data" sheetId="2" r:id="rId2"/>
    <sheet name="Processed Data" sheetId="1" r:id="rId3"/>
    <sheet name="Tally Count" sheetId="3" r:id="rId4"/>
    <sheet name="Adapter Comparison General" sheetId="7" r:id="rId5"/>
    <sheet name="Model Comparison General" sheetId="8" r:id="rId6"/>
    <sheet name="Age Sub Group" sheetId="4" r:id="rId7"/>
    <sheet name="Experience Sub Group" sheetId="6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L13" i="5" l="1"/>
  <c r="L12" i="5"/>
  <c r="L10" i="5"/>
  <c r="L9" i="5"/>
  <c r="Z46" i="6"/>
  <c r="Y46" i="6"/>
  <c r="X46" i="6"/>
  <c r="T46" i="6"/>
  <c r="S46" i="6"/>
  <c r="R46" i="6"/>
  <c r="Z45" i="6"/>
  <c r="Y45" i="6"/>
  <c r="X45" i="6"/>
  <c r="T45" i="6"/>
  <c r="S45" i="6"/>
  <c r="R45" i="6"/>
  <c r="Z44" i="6"/>
  <c r="Y44" i="6"/>
  <c r="X44" i="6"/>
  <c r="T44" i="6"/>
  <c r="S44" i="6"/>
  <c r="R44" i="6"/>
  <c r="C54" i="6"/>
  <c r="M63" i="6"/>
  <c r="L63" i="6"/>
  <c r="K63" i="6"/>
  <c r="J63" i="6"/>
  <c r="F63" i="6"/>
  <c r="E63" i="6"/>
  <c r="D63" i="6"/>
  <c r="C63" i="6"/>
  <c r="M62" i="6"/>
  <c r="L62" i="6"/>
  <c r="K62" i="6"/>
  <c r="J62" i="6"/>
  <c r="F62" i="6"/>
  <c r="E62" i="6"/>
  <c r="D62" i="6"/>
  <c r="C62" i="6"/>
  <c r="M61" i="6"/>
  <c r="L61" i="6"/>
  <c r="K61" i="6"/>
  <c r="J61" i="6"/>
  <c r="F61" i="6"/>
  <c r="E61" i="6"/>
  <c r="D61" i="6"/>
  <c r="C61" i="6"/>
  <c r="M60" i="6"/>
  <c r="L60" i="6"/>
  <c r="K60" i="6"/>
  <c r="J60" i="6"/>
  <c r="F60" i="6"/>
  <c r="E60" i="6"/>
  <c r="D60" i="6"/>
  <c r="C60" i="6"/>
  <c r="M57" i="6"/>
  <c r="L57" i="6"/>
  <c r="K57" i="6"/>
  <c r="J57" i="6"/>
  <c r="F57" i="6"/>
  <c r="E57" i="6"/>
  <c r="D57" i="6"/>
  <c r="C57" i="6"/>
  <c r="M56" i="6"/>
  <c r="L56" i="6"/>
  <c r="K56" i="6"/>
  <c r="J56" i="6"/>
  <c r="F56" i="6"/>
  <c r="E56" i="6"/>
  <c r="D56" i="6"/>
  <c r="C56" i="6"/>
  <c r="M55" i="6"/>
  <c r="L55" i="6"/>
  <c r="K55" i="6"/>
  <c r="J55" i="6"/>
  <c r="F55" i="6"/>
  <c r="E55" i="6"/>
  <c r="D55" i="6"/>
  <c r="C55" i="6"/>
  <c r="M54" i="6"/>
  <c r="L54" i="6"/>
  <c r="K54" i="6"/>
  <c r="J54" i="6"/>
  <c r="F54" i="6"/>
  <c r="E54" i="6"/>
  <c r="D54" i="6"/>
  <c r="W13" i="6"/>
  <c r="X13" i="6"/>
  <c r="Y13" i="6"/>
  <c r="W14" i="6"/>
  <c r="X14" i="6"/>
  <c r="Y14" i="6"/>
  <c r="W15" i="6"/>
  <c r="X15" i="6"/>
  <c r="Y15" i="6"/>
  <c r="W16" i="6"/>
  <c r="X16" i="6"/>
  <c r="Y16" i="6"/>
  <c r="W17" i="6"/>
  <c r="X17" i="6"/>
  <c r="Y17" i="6"/>
  <c r="W18" i="6"/>
  <c r="X18" i="6"/>
  <c r="Y18" i="6"/>
  <c r="W19" i="6"/>
  <c r="X19" i="6"/>
  <c r="Y19" i="6"/>
  <c r="W20" i="6"/>
  <c r="X20" i="6"/>
  <c r="Y20" i="6"/>
  <c r="W21" i="6"/>
  <c r="X21" i="6"/>
  <c r="Y21" i="6"/>
  <c r="W22" i="6"/>
  <c r="X22" i="6"/>
  <c r="Y22" i="6"/>
  <c r="W23" i="6"/>
  <c r="X23" i="6"/>
  <c r="Y23" i="6"/>
  <c r="W24" i="6"/>
  <c r="X24" i="6"/>
  <c r="Y24" i="6"/>
  <c r="W25" i="6"/>
  <c r="X25" i="6"/>
  <c r="Y25" i="6"/>
  <c r="W26" i="6"/>
  <c r="X26" i="6"/>
  <c r="Y26" i="6"/>
  <c r="W27" i="6"/>
  <c r="X27" i="6"/>
  <c r="Y27" i="6"/>
  <c r="W28" i="6"/>
  <c r="X28" i="6"/>
  <c r="Y28" i="6"/>
  <c r="W29" i="6"/>
  <c r="X29" i="6"/>
  <c r="Y29" i="6"/>
  <c r="W30" i="6"/>
  <c r="X30" i="6"/>
  <c r="Y30" i="6"/>
  <c r="W31" i="6"/>
  <c r="X31" i="6"/>
  <c r="Y31" i="6"/>
  <c r="W32" i="6"/>
  <c r="X32" i="6"/>
  <c r="Y32" i="6"/>
  <c r="W33" i="6"/>
  <c r="X33" i="6"/>
  <c r="Y33" i="6"/>
  <c r="W34" i="6"/>
  <c r="X34" i="6"/>
  <c r="Y34" i="6"/>
  <c r="W35" i="6"/>
  <c r="X35" i="6"/>
  <c r="Y35" i="6"/>
  <c r="W36" i="6"/>
  <c r="X36" i="6"/>
  <c r="Y36" i="6"/>
  <c r="W37" i="6"/>
  <c r="X37" i="6"/>
  <c r="Y37" i="6"/>
  <c r="W38" i="6"/>
  <c r="X38" i="6"/>
  <c r="Y38" i="6"/>
  <c r="W39" i="6"/>
  <c r="X39" i="6"/>
  <c r="Y39" i="6"/>
  <c r="W40" i="6"/>
  <c r="X40" i="6"/>
  <c r="Y40" i="6"/>
  <c r="W41" i="6"/>
  <c r="X41" i="6"/>
  <c r="Y41" i="6"/>
  <c r="Y12" i="6"/>
  <c r="X12" i="6"/>
  <c r="W12" i="6"/>
  <c r="Q13" i="6"/>
  <c r="R13" i="6"/>
  <c r="S13" i="6"/>
  <c r="Q14" i="6"/>
  <c r="R14" i="6"/>
  <c r="S14" i="6"/>
  <c r="Q15" i="6"/>
  <c r="R15" i="6"/>
  <c r="S15" i="6"/>
  <c r="Q16" i="6"/>
  <c r="R16" i="6"/>
  <c r="S16" i="6"/>
  <c r="Q17" i="6"/>
  <c r="R17" i="6"/>
  <c r="S17" i="6"/>
  <c r="Q18" i="6"/>
  <c r="R18" i="6"/>
  <c r="S18" i="6"/>
  <c r="Q19" i="6"/>
  <c r="R19" i="6"/>
  <c r="S19" i="6"/>
  <c r="Q20" i="6"/>
  <c r="R20" i="6"/>
  <c r="S20" i="6"/>
  <c r="Q21" i="6"/>
  <c r="R21" i="6"/>
  <c r="S21" i="6"/>
  <c r="Q22" i="6"/>
  <c r="R22" i="6"/>
  <c r="S22" i="6"/>
  <c r="Q23" i="6"/>
  <c r="R23" i="6"/>
  <c r="S23" i="6"/>
  <c r="Q24" i="6"/>
  <c r="R24" i="6"/>
  <c r="S24" i="6"/>
  <c r="Q25" i="6"/>
  <c r="R25" i="6"/>
  <c r="S25" i="6"/>
  <c r="Q26" i="6"/>
  <c r="R26" i="6"/>
  <c r="S26" i="6"/>
  <c r="Q27" i="6"/>
  <c r="R27" i="6"/>
  <c r="S27" i="6"/>
  <c r="Q28" i="6"/>
  <c r="R28" i="6"/>
  <c r="S28" i="6"/>
  <c r="Q29" i="6"/>
  <c r="R29" i="6"/>
  <c r="S29" i="6"/>
  <c r="Q30" i="6"/>
  <c r="R30" i="6"/>
  <c r="S30" i="6"/>
  <c r="Q31" i="6"/>
  <c r="R31" i="6"/>
  <c r="S31" i="6"/>
  <c r="Q32" i="6"/>
  <c r="R32" i="6"/>
  <c r="S32" i="6"/>
  <c r="Q33" i="6"/>
  <c r="R33" i="6"/>
  <c r="S33" i="6"/>
  <c r="Q34" i="6"/>
  <c r="R34" i="6"/>
  <c r="S34" i="6"/>
  <c r="Q35" i="6"/>
  <c r="R35" i="6"/>
  <c r="S35" i="6"/>
  <c r="Q36" i="6"/>
  <c r="R36" i="6"/>
  <c r="S36" i="6"/>
  <c r="Q37" i="6"/>
  <c r="R37" i="6"/>
  <c r="S37" i="6"/>
  <c r="Q38" i="6"/>
  <c r="R38" i="6"/>
  <c r="S38" i="6"/>
  <c r="Q39" i="6"/>
  <c r="R39" i="6"/>
  <c r="S39" i="6"/>
  <c r="Q40" i="6"/>
  <c r="R40" i="6"/>
  <c r="S40" i="6"/>
  <c r="Q41" i="6"/>
  <c r="R41" i="6"/>
  <c r="S41" i="6"/>
  <c r="S12" i="6"/>
  <c r="R12" i="6"/>
  <c r="Q12" i="6"/>
  <c r="J13" i="6"/>
  <c r="K13" i="6"/>
  <c r="L13" i="6"/>
  <c r="M13" i="6"/>
  <c r="J14" i="6"/>
  <c r="K14" i="6"/>
  <c r="L14" i="6"/>
  <c r="M14" i="6"/>
  <c r="J15" i="6"/>
  <c r="K15" i="6"/>
  <c r="L15" i="6"/>
  <c r="M15" i="6"/>
  <c r="J16" i="6"/>
  <c r="K16" i="6"/>
  <c r="L16" i="6"/>
  <c r="M16" i="6"/>
  <c r="J17" i="6"/>
  <c r="K17" i="6"/>
  <c r="L17" i="6"/>
  <c r="M17" i="6"/>
  <c r="J18" i="6"/>
  <c r="K18" i="6"/>
  <c r="L18" i="6"/>
  <c r="M18" i="6"/>
  <c r="J19" i="6"/>
  <c r="K19" i="6"/>
  <c r="L19" i="6"/>
  <c r="M19" i="6"/>
  <c r="J20" i="6"/>
  <c r="K20" i="6"/>
  <c r="L20" i="6"/>
  <c r="M20" i="6"/>
  <c r="J21" i="6"/>
  <c r="K21" i="6"/>
  <c r="L21" i="6"/>
  <c r="M21" i="6"/>
  <c r="J22" i="6"/>
  <c r="K22" i="6"/>
  <c r="L22" i="6"/>
  <c r="M22" i="6"/>
  <c r="J23" i="6"/>
  <c r="K23" i="6"/>
  <c r="L23" i="6"/>
  <c r="M23" i="6"/>
  <c r="J24" i="6"/>
  <c r="K24" i="6"/>
  <c r="L24" i="6"/>
  <c r="M24" i="6"/>
  <c r="J25" i="6"/>
  <c r="K25" i="6"/>
  <c r="L25" i="6"/>
  <c r="M25" i="6"/>
  <c r="J26" i="6"/>
  <c r="K26" i="6"/>
  <c r="L26" i="6"/>
  <c r="M26" i="6"/>
  <c r="J27" i="6"/>
  <c r="K27" i="6"/>
  <c r="L27" i="6"/>
  <c r="M27" i="6"/>
  <c r="J28" i="6"/>
  <c r="K28" i="6"/>
  <c r="L28" i="6"/>
  <c r="M28" i="6"/>
  <c r="J29" i="6"/>
  <c r="K29" i="6"/>
  <c r="L29" i="6"/>
  <c r="M29" i="6"/>
  <c r="J30" i="6"/>
  <c r="K30" i="6"/>
  <c r="L30" i="6"/>
  <c r="M30" i="6"/>
  <c r="J31" i="6"/>
  <c r="K31" i="6"/>
  <c r="L31" i="6"/>
  <c r="M31" i="6"/>
  <c r="J32" i="6"/>
  <c r="K32" i="6"/>
  <c r="L32" i="6"/>
  <c r="M32" i="6"/>
  <c r="J33" i="6"/>
  <c r="K33" i="6"/>
  <c r="L33" i="6"/>
  <c r="M33" i="6"/>
  <c r="J34" i="6"/>
  <c r="K34" i="6"/>
  <c r="L34" i="6"/>
  <c r="M34" i="6"/>
  <c r="J35" i="6"/>
  <c r="K35" i="6"/>
  <c r="L35" i="6"/>
  <c r="M35" i="6"/>
  <c r="J36" i="6"/>
  <c r="K36" i="6"/>
  <c r="L36" i="6"/>
  <c r="M36" i="6"/>
  <c r="J37" i="6"/>
  <c r="K37" i="6"/>
  <c r="L37" i="6"/>
  <c r="M37" i="6"/>
  <c r="J38" i="6"/>
  <c r="K38" i="6"/>
  <c r="L38" i="6"/>
  <c r="M38" i="6"/>
  <c r="J39" i="6"/>
  <c r="K39" i="6"/>
  <c r="L39" i="6"/>
  <c r="M39" i="6"/>
  <c r="J40" i="6"/>
  <c r="K40" i="6"/>
  <c r="L40" i="6"/>
  <c r="M40" i="6"/>
  <c r="J41" i="6"/>
  <c r="K41" i="6"/>
  <c r="L41" i="6"/>
  <c r="M41" i="6"/>
  <c r="J42" i="6"/>
  <c r="K42" i="6"/>
  <c r="L42" i="6"/>
  <c r="M42" i="6"/>
  <c r="J43" i="6"/>
  <c r="K43" i="6"/>
  <c r="L43" i="6"/>
  <c r="M43" i="6"/>
  <c r="J44" i="6"/>
  <c r="K44" i="6"/>
  <c r="L44" i="6"/>
  <c r="M44" i="6"/>
  <c r="J45" i="6"/>
  <c r="K45" i="6"/>
  <c r="L45" i="6"/>
  <c r="M45" i="6"/>
  <c r="J46" i="6"/>
  <c r="K46" i="6"/>
  <c r="L46" i="6"/>
  <c r="M46" i="6"/>
  <c r="J47" i="6"/>
  <c r="K47" i="6"/>
  <c r="L47" i="6"/>
  <c r="M47" i="6"/>
  <c r="J48" i="6"/>
  <c r="K48" i="6"/>
  <c r="L48" i="6"/>
  <c r="M48" i="6"/>
  <c r="J49" i="6"/>
  <c r="K49" i="6"/>
  <c r="L49" i="6"/>
  <c r="M49" i="6"/>
  <c r="J50" i="6"/>
  <c r="K50" i="6"/>
  <c r="L50" i="6"/>
  <c r="M50" i="6"/>
  <c r="J51" i="6"/>
  <c r="K51" i="6"/>
  <c r="L51" i="6"/>
  <c r="M51" i="6"/>
  <c r="M12" i="6"/>
  <c r="L12" i="6"/>
  <c r="K12" i="6"/>
  <c r="J12" i="6"/>
  <c r="C13" i="6"/>
  <c r="D13" i="6"/>
  <c r="E13" i="6"/>
  <c r="F13" i="6"/>
  <c r="C14" i="6"/>
  <c r="D14" i="6"/>
  <c r="E14" i="6"/>
  <c r="F14" i="6"/>
  <c r="C15" i="6"/>
  <c r="D15" i="6"/>
  <c r="E15" i="6"/>
  <c r="F15" i="6"/>
  <c r="C16" i="6"/>
  <c r="D16" i="6"/>
  <c r="E16" i="6"/>
  <c r="F16" i="6"/>
  <c r="C17" i="6"/>
  <c r="D17" i="6"/>
  <c r="E17" i="6"/>
  <c r="F17" i="6"/>
  <c r="C18" i="6"/>
  <c r="D18" i="6"/>
  <c r="E18" i="6"/>
  <c r="F18" i="6"/>
  <c r="C19" i="6"/>
  <c r="D19" i="6"/>
  <c r="E19" i="6"/>
  <c r="F19" i="6"/>
  <c r="C20" i="6"/>
  <c r="D20" i="6"/>
  <c r="E20" i="6"/>
  <c r="F20" i="6"/>
  <c r="C21" i="6"/>
  <c r="D21" i="6"/>
  <c r="E21" i="6"/>
  <c r="F21" i="6"/>
  <c r="C22" i="6"/>
  <c r="D22" i="6"/>
  <c r="E22" i="6"/>
  <c r="F22" i="6"/>
  <c r="C23" i="6"/>
  <c r="D23" i="6"/>
  <c r="E23" i="6"/>
  <c r="F23" i="6"/>
  <c r="C24" i="6"/>
  <c r="D24" i="6"/>
  <c r="E24" i="6"/>
  <c r="F24" i="6"/>
  <c r="C25" i="6"/>
  <c r="D25" i="6"/>
  <c r="E25" i="6"/>
  <c r="F25" i="6"/>
  <c r="C26" i="6"/>
  <c r="D26" i="6"/>
  <c r="E26" i="6"/>
  <c r="F26" i="6"/>
  <c r="C27" i="6"/>
  <c r="D27" i="6"/>
  <c r="E27" i="6"/>
  <c r="F27" i="6"/>
  <c r="C28" i="6"/>
  <c r="D28" i="6"/>
  <c r="E28" i="6"/>
  <c r="F28" i="6"/>
  <c r="C29" i="6"/>
  <c r="D29" i="6"/>
  <c r="E29" i="6"/>
  <c r="F29" i="6"/>
  <c r="C30" i="6"/>
  <c r="D30" i="6"/>
  <c r="E30" i="6"/>
  <c r="F30" i="6"/>
  <c r="C31" i="6"/>
  <c r="D31" i="6"/>
  <c r="E31" i="6"/>
  <c r="F31" i="6"/>
  <c r="C32" i="6"/>
  <c r="D32" i="6"/>
  <c r="E32" i="6"/>
  <c r="F32" i="6"/>
  <c r="C33" i="6"/>
  <c r="D33" i="6"/>
  <c r="E33" i="6"/>
  <c r="F33" i="6"/>
  <c r="C34" i="6"/>
  <c r="D34" i="6"/>
  <c r="E34" i="6"/>
  <c r="F34" i="6"/>
  <c r="C35" i="6"/>
  <c r="D35" i="6"/>
  <c r="E35" i="6"/>
  <c r="F35" i="6"/>
  <c r="C36" i="6"/>
  <c r="D36" i="6"/>
  <c r="E36" i="6"/>
  <c r="F36" i="6"/>
  <c r="C37" i="6"/>
  <c r="D37" i="6"/>
  <c r="E37" i="6"/>
  <c r="F37" i="6"/>
  <c r="C38" i="6"/>
  <c r="D38" i="6"/>
  <c r="E38" i="6"/>
  <c r="F38" i="6"/>
  <c r="C39" i="6"/>
  <c r="D39" i="6"/>
  <c r="E39" i="6"/>
  <c r="F39" i="6"/>
  <c r="C40" i="6"/>
  <c r="D40" i="6"/>
  <c r="E40" i="6"/>
  <c r="F40" i="6"/>
  <c r="C41" i="6"/>
  <c r="D41" i="6"/>
  <c r="E41" i="6"/>
  <c r="F41" i="6"/>
  <c r="C42" i="6"/>
  <c r="D42" i="6"/>
  <c r="E42" i="6"/>
  <c r="F42" i="6"/>
  <c r="C43" i="6"/>
  <c r="D43" i="6"/>
  <c r="E43" i="6"/>
  <c r="F43" i="6"/>
  <c r="C44" i="6"/>
  <c r="D44" i="6"/>
  <c r="E44" i="6"/>
  <c r="F44" i="6"/>
  <c r="C45" i="6"/>
  <c r="D45" i="6"/>
  <c r="E45" i="6"/>
  <c r="F45" i="6"/>
  <c r="C46" i="6"/>
  <c r="D46" i="6"/>
  <c r="E46" i="6"/>
  <c r="F46" i="6"/>
  <c r="C47" i="6"/>
  <c r="D47" i="6"/>
  <c r="E47" i="6"/>
  <c r="F47" i="6"/>
  <c r="C48" i="6"/>
  <c r="D48" i="6"/>
  <c r="E48" i="6"/>
  <c r="F48" i="6"/>
  <c r="C49" i="6"/>
  <c r="D49" i="6"/>
  <c r="E49" i="6"/>
  <c r="F49" i="6"/>
  <c r="C50" i="6"/>
  <c r="D50" i="6"/>
  <c r="E50" i="6"/>
  <c r="F50" i="6"/>
  <c r="C51" i="6"/>
  <c r="D51" i="6"/>
  <c r="E51" i="6"/>
  <c r="F51" i="6"/>
  <c r="F12" i="6"/>
  <c r="E12" i="6"/>
  <c r="D12" i="6"/>
  <c r="C12" i="6"/>
  <c r="H4" i="7"/>
  <c r="I4" i="7"/>
  <c r="W13" i="4"/>
  <c r="X13" i="4"/>
  <c r="Y13" i="4"/>
  <c r="W14" i="4"/>
  <c r="X14" i="4"/>
  <c r="Y14" i="4"/>
  <c r="W15" i="4"/>
  <c r="X15" i="4"/>
  <c r="Y15" i="4"/>
  <c r="W16" i="4"/>
  <c r="X16" i="4"/>
  <c r="Y16" i="4"/>
  <c r="W17" i="4"/>
  <c r="X17" i="4"/>
  <c r="Y17" i="4"/>
  <c r="W18" i="4"/>
  <c r="X18" i="4"/>
  <c r="Y18" i="4"/>
  <c r="W19" i="4"/>
  <c r="X19" i="4"/>
  <c r="Y19" i="4"/>
  <c r="W20" i="4"/>
  <c r="X20" i="4"/>
  <c r="Y20" i="4"/>
  <c r="W21" i="4"/>
  <c r="X21" i="4"/>
  <c r="Y21" i="4"/>
  <c r="W22" i="4"/>
  <c r="X22" i="4"/>
  <c r="Y22" i="4"/>
  <c r="W23" i="4"/>
  <c r="X23" i="4"/>
  <c r="Y23" i="4"/>
  <c r="W24" i="4"/>
  <c r="X24" i="4"/>
  <c r="Y24" i="4"/>
  <c r="W25" i="4"/>
  <c r="X25" i="4"/>
  <c r="Y25" i="4"/>
  <c r="W26" i="4"/>
  <c r="X26" i="4"/>
  <c r="Y26" i="4"/>
  <c r="W27" i="4"/>
  <c r="X27" i="4"/>
  <c r="Y27" i="4"/>
  <c r="W28" i="4"/>
  <c r="X28" i="4"/>
  <c r="Y28" i="4"/>
  <c r="W29" i="4"/>
  <c r="X29" i="4"/>
  <c r="Y29" i="4"/>
  <c r="W30" i="4"/>
  <c r="X30" i="4"/>
  <c r="Y30" i="4"/>
  <c r="W31" i="4"/>
  <c r="X31" i="4"/>
  <c r="Y31" i="4"/>
  <c r="W32" i="4"/>
  <c r="X32" i="4"/>
  <c r="Y32" i="4"/>
  <c r="W33" i="4"/>
  <c r="X33" i="4"/>
  <c r="Y33" i="4"/>
  <c r="W34" i="4"/>
  <c r="X34" i="4"/>
  <c r="Y34" i="4"/>
  <c r="W35" i="4"/>
  <c r="X35" i="4"/>
  <c r="Y35" i="4"/>
  <c r="W36" i="4"/>
  <c r="X36" i="4"/>
  <c r="Y36" i="4"/>
  <c r="W37" i="4"/>
  <c r="X37" i="4"/>
  <c r="Y37" i="4"/>
  <c r="W38" i="4"/>
  <c r="X38" i="4"/>
  <c r="Y38" i="4"/>
  <c r="W39" i="4"/>
  <c r="X39" i="4"/>
  <c r="Y39" i="4"/>
  <c r="W40" i="4"/>
  <c r="X40" i="4"/>
  <c r="Y40" i="4"/>
  <c r="W41" i="4"/>
  <c r="X41" i="4"/>
  <c r="Y41" i="4"/>
  <c r="Y12" i="4"/>
  <c r="X12" i="4"/>
  <c r="W12" i="4"/>
  <c r="Q13" i="4"/>
  <c r="R13" i="4"/>
  <c r="S13" i="4"/>
  <c r="Q14" i="4"/>
  <c r="R14" i="4"/>
  <c r="S14" i="4"/>
  <c r="Q15" i="4"/>
  <c r="R15" i="4"/>
  <c r="S15" i="4"/>
  <c r="Q16" i="4"/>
  <c r="R16" i="4"/>
  <c r="S16" i="4"/>
  <c r="Q17" i="4"/>
  <c r="R17" i="4"/>
  <c r="S17" i="4"/>
  <c r="Q18" i="4"/>
  <c r="R18" i="4"/>
  <c r="S18" i="4"/>
  <c r="Q19" i="4"/>
  <c r="R19" i="4"/>
  <c r="S19" i="4"/>
  <c r="Q20" i="4"/>
  <c r="R20" i="4"/>
  <c r="S20" i="4"/>
  <c r="Q21" i="4"/>
  <c r="R21" i="4"/>
  <c r="S21" i="4"/>
  <c r="Q22" i="4"/>
  <c r="R22" i="4"/>
  <c r="S22" i="4"/>
  <c r="Q23" i="4"/>
  <c r="R23" i="4"/>
  <c r="S23" i="4"/>
  <c r="Q24" i="4"/>
  <c r="R24" i="4"/>
  <c r="S24" i="4"/>
  <c r="Q25" i="4"/>
  <c r="R25" i="4"/>
  <c r="S25" i="4"/>
  <c r="Q26" i="4"/>
  <c r="R26" i="4"/>
  <c r="S26" i="4"/>
  <c r="Q27" i="4"/>
  <c r="R27" i="4"/>
  <c r="S27" i="4"/>
  <c r="Q28" i="4"/>
  <c r="R28" i="4"/>
  <c r="S28" i="4"/>
  <c r="Q29" i="4"/>
  <c r="R29" i="4"/>
  <c r="S29" i="4"/>
  <c r="Q30" i="4"/>
  <c r="R30" i="4"/>
  <c r="S30" i="4"/>
  <c r="Q31" i="4"/>
  <c r="R31" i="4"/>
  <c r="S31" i="4"/>
  <c r="Q32" i="4"/>
  <c r="R32" i="4"/>
  <c r="S32" i="4"/>
  <c r="Q33" i="4"/>
  <c r="R33" i="4"/>
  <c r="S33" i="4"/>
  <c r="Q34" i="4"/>
  <c r="R34" i="4"/>
  <c r="S34" i="4"/>
  <c r="Q35" i="4"/>
  <c r="R35" i="4"/>
  <c r="S35" i="4"/>
  <c r="Q36" i="4"/>
  <c r="R36" i="4"/>
  <c r="S36" i="4"/>
  <c r="Q37" i="4"/>
  <c r="R37" i="4"/>
  <c r="S37" i="4"/>
  <c r="Q38" i="4"/>
  <c r="R38" i="4"/>
  <c r="S38" i="4"/>
  <c r="Q39" i="4"/>
  <c r="R39" i="4"/>
  <c r="S39" i="4"/>
  <c r="Q40" i="4"/>
  <c r="R40" i="4"/>
  <c r="S40" i="4"/>
  <c r="Q41" i="4"/>
  <c r="R41" i="4"/>
  <c r="S41" i="4"/>
  <c r="S12" i="4"/>
  <c r="R12" i="4"/>
  <c r="Q12" i="4"/>
  <c r="J13" i="4"/>
  <c r="K13" i="4"/>
  <c r="L13" i="4"/>
  <c r="M13" i="4"/>
  <c r="J14" i="4"/>
  <c r="K14" i="4"/>
  <c r="L14" i="4"/>
  <c r="M14" i="4"/>
  <c r="J15" i="4"/>
  <c r="K15" i="4"/>
  <c r="L15" i="4"/>
  <c r="M15" i="4"/>
  <c r="J16" i="4"/>
  <c r="K16" i="4"/>
  <c r="L16" i="4"/>
  <c r="M16" i="4"/>
  <c r="J17" i="4"/>
  <c r="K17" i="4"/>
  <c r="L17" i="4"/>
  <c r="M17" i="4"/>
  <c r="J18" i="4"/>
  <c r="K18" i="4"/>
  <c r="L18" i="4"/>
  <c r="M18" i="4"/>
  <c r="J19" i="4"/>
  <c r="K19" i="4"/>
  <c r="L19" i="4"/>
  <c r="M19" i="4"/>
  <c r="J20" i="4"/>
  <c r="K20" i="4"/>
  <c r="L20" i="4"/>
  <c r="M20" i="4"/>
  <c r="J21" i="4"/>
  <c r="K21" i="4"/>
  <c r="L21" i="4"/>
  <c r="M21" i="4"/>
  <c r="J22" i="4"/>
  <c r="K22" i="4"/>
  <c r="L22" i="4"/>
  <c r="M22" i="4"/>
  <c r="J23" i="4"/>
  <c r="K23" i="4"/>
  <c r="L23" i="4"/>
  <c r="M23" i="4"/>
  <c r="J24" i="4"/>
  <c r="K24" i="4"/>
  <c r="L24" i="4"/>
  <c r="M24" i="4"/>
  <c r="J25" i="4"/>
  <c r="K25" i="4"/>
  <c r="L25" i="4"/>
  <c r="M25" i="4"/>
  <c r="J26" i="4"/>
  <c r="K26" i="4"/>
  <c r="L26" i="4"/>
  <c r="M26" i="4"/>
  <c r="J27" i="4"/>
  <c r="K27" i="4"/>
  <c r="L27" i="4"/>
  <c r="M27" i="4"/>
  <c r="J28" i="4"/>
  <c r="K28" i="4"/>
  <c r="L28" i="4"/>
  <c r="M28" i="4"/>
  <c r="J29" i="4"/>
  <c r="K29" i="4"/>
  <c r="L29" i="4"/>
  <c r="M29" i="4"/>
  <c r="J30" i="4"/>
  <c r="K30" i="4"/>
  <c r="L30" i="4"/>
  <c r="M30" i="4"/>
  <c r="J31" i="4"/>
  <c r="K31" i="4"/>
  <c r="L31" i="4"/>
  <c r="M31" i="4"/>
  <c r="J32" i="4"/>
  <c r="K32" i="4"/>
  <c r="L32" i="4"/>
  <c r="M32" i="4"/>
  <c r="J33" i="4"/>
  <c r="K33" i="4"/>
  <c r="L33" i="4"/>
  <c r="M33" i="4"/>
  <c r="J34" i="4"/>
  <c r="K34" i="4"/>
  <c r="L34" i="4"/>
  <c r="M34" i="4"/>
  <c r="J35" i="4"/>
  <c r="K35" i="4"/>
  <c r="L35" i="4"/>
  <c r="M35" i="4"/>
  <c r="J36" i="4"/>
  <c r="K36" i="4"/>
  <c r="L36" i="4"/>
  <c r="M36" i="4"/>
  <c r="J37" i="4"/>
  <c r="K37" i="4"/>
  <c r="L37" i="4"/>
  <c r="M37" i="4"/>
  <c r="J38" i="4"/>
  <c r="K38" i="4"/>
  <c r="L38" i="4"/>
  <c r="M38" i="4"/>
  <c r="J39" i="4"/>
  <c r="K39" i="4"/>
  <c r="L39" i="4"/>
  <c r="M39" i="4"/>
  <c r="J40" i="4"/>
  <c r="K40" i="4"/>
  <c r="L40" i="4"/>
  <c r="M40" i="4"/>
  <c r="J41" i="4"/>
  <c r="K41" i="4"/>
  <c r="L41" i="4"/>
  <c r="M41" i="4"/>
  <c r="J42" i="4"/>
  <c r="K42" i="4"/>
  <c r="L42" i="4"/>
  <c r="M42" i="4"/>
  <c r="J43" i="4"/>
  <c r="K43" i="4"/>
  <c r="L43" i="4"/>
  <c r="M43" i="4"/>
  <c r="J44" i="4"/>
  <c r="K44" i="4"/>
  <c r="L44" i="4"/>
  <c r="M44" i="4"/>
  <c r="J45" i="4"/>
  <c r="K45" i="4"/>
  <c r="L45" i="4"/>
  <c r="M45" i="4"/>
  <c r="J46" i="4"/>
  <c r="K46" i="4"/>
  <c r="L46" i="4"/>
  <c r="M46" i="4"/>
  <c r="J47" i="4"/>
  <c r="K47" i="4"/>
  <c r="L47" i="4"/>
  <c r="M47" i="4"/>
  <c r="J48" i="4"/>
  <c r="K48" i="4"/>
  <c r="L48" i="4"/>
  <c r="M48" i="4"/>
  <c r="J49" i="4"/>
  <c r="K49" i="4"/>
  <c r="L49" i="4"/>
  <c r="M49" i="4"/>
  <c r="J50" i="4"/>
  <c r="K50" i="4"/>
  <c r="L50" i="4"/>
  <c r="M50" i="4"/>
  <c r="J51" i="4"/>
  <c r="K51" i="4"/>
  <c r="L51" i="4"/>
  <c r="M51" i="4"/>
  <c r="M12" i="4"/>
  <c r="L12" i="4"/>
  <c r="K12" i="4"/>
  <c r="J12" i="4"/>
  <c r="C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D13" i="4"/>
  <c r="C13" i="4"/>
  <c r="F12" i="4"/>
  <c r="E12" i="4"/>
  <c r="D12" i="4"/>
  <c r="D4" i="4"/>
  <c r="D3" i="4"/>
  <c r="C17" i="3"/>
  <c r="E17" i="3"/>
  <c r="G5" i="8"/>
  <c r="G6" i="8"/>
  <c r="G4" i="8"/>
  <c r="I6" i="8"/>
  <c r="J6" i="8"/>
  <c r="I5" i="8"/>
  <c r="J5" i="8"/>
  <c r="H6" i="8"/>
  <c r="H5" i="8"/>
  <c r="I4" i="8"/>
  <c r="J4" i="8"/>
  <c r="H4" i="8"/>
  <c r="V16" i="7"/>
  <c r="W16" i="7"/>
  <c r="X16" i="7"/>
  <c r="U16" i="7"/>
  <c r="V15" i="7"/>
  <c r="W15" i="7"/>
  <c r="X15" i="7"/>
  <c r="U15" i="7"/>
  <c r="V14" i="7"/>
  <c r="W14" i="7"/>
  <c r="X14" i="7"/>
  <c r="U14" i="7"/>
  <c r="W13" i="7"/>
  <c r="X13" i="7"/>
  <c r="U7" i="7"/>
  <c r="V7" i="7"/>
  <c r="W7" i="7"/>
  <c r="T7" i="7"/>
  <c r="U6" i="7"/>
  <c r="V6" i="7"/>
  <c r="W6" i="7"/>
  <c r="T6" i="7"/>
  <c r="U5" i="7"/>
  <c r="V5" i="7"/>
  <c r="W5" i="7"/>
  <c r="T5" i="7"/>
  <c r="U4" i="7"/>
  <c r="V4" i="7"/>
  <c r="W4" i="7"/>
  <c r="T4" i="7"/>
  <c r="B56" i="3" a="1"/>
  <c r="B22" i="3" a="1"/>
  <c r="B23" i="3" a="1"/>
  <c r="B24" i="3" a="1"/>
  <c r="B25" i="3" a="1"/>
  <c r="B26" i="3" a="1"/>
  <c r="B27" i="3" a="1"/>
  <c r="B28" i="3" a="1"/>
  <c r="B29" i="3" a="1"/>
  <c r="B30" i="3" a="1"/>
  <c r="B31" i="3" a="1"/>
  <c r="B32" i="3" a="1"/>
  <c r="B33" i="3" a="1"/>
  <c r="B34" i="3" a="1"/>
  <c r="B35" i="3" a="1"/>
  <c r="B36" i="3" a="1"/>
  <c r="B37" i="3" a="1"/>
  <c r="B38" i="3" a="1"/>
  <c r="B39" i="3" a="1"/>
  <c r="B40" i="3" a="1"/>
  <c r="B41" i="3" a="1"/>
  <c r="B42" i="3" a="1"/>
  <c r="B43" i="3" a="1"/>
  <c r="B44" i="3" a="1"/>
  <c r="B45" i="3" a="1"/>
  <c r="B46" i="3" a="1"/>
  <c r="B47" i="3" a="1"/>
  <c r="B48" i="3" a="1"/>
  <c r="B49" i="3" a="1"/>
  <c r="B50" i="3" a="1"/>
  <c r="B51" i="3" a="1"/>
  <c r="B52" i="3" a="1"/>
  <c r="B53" i="3" a="1"/>
  <c r="B54" i="3" a="1"/>
  <c r="B55" i="3" a="1"/>
  <c r="B18" i="3" a="1"/>
  <c r="B19" i="3" a="1"/>
  <c r="B20" i="3" a="1"/>
  <c r="B21" i="3" a="1"/>
  <c r="B17" i="3" a="1"/>
  <c r="L45" i="3"/>
  <c r="K45" i="3"/>
  <c r="J45" i="3"/>
  <c r="L41" i="3"/>
  <c r="K41" i="3"/>
  <c r="J41" i="3"/>
  <c r="L40" i="3"/>
  <c r="K40" i="3"/>
  <c r="J40" i="3"/>
  <c r="L39" i="3"/>
  <c r="K39" i="3"/>
  <c r="J39" i="3"/>
  <c r="L38" i="3"/>
  <c r="K38" i="3"/>
  <c r="J38" i="3"/>
  <c r="L24" i="3"/>
  <c r="K24" i="3"/>
  <c r="J24" i="3"/>
  <c r="L23" i="3"/>
  <c r="K23" i="3"/>
  <c r="J23" i="3"/>
  <c r="L22" i="3"/>
  <c r="K22" i="3"/>
  <c r="J22" i="3"/>
  <c r="L21" i="3"/>
  <c r="K21" i="3"/>
  <c r="J21" i="3"/>
  <c r="L20" i="3"/>
  <c r="K20" i="3"/>
  <c r="J20" i="3"/>
  <c r="L19" i="3"/>
  <c r="K19" i="3"/>
  <c r="J19" i="3"/>
  <c r="L18" i="3"/>
  <c r="K18" i="3"/>
  <c r="J18" i="3"/>
  <c r="K17" i="3"/>
  <c r="L17" i="3"/>
  <c r="J17" i="3"/>
  <c r="I46" i="3"/>
  <c r="I42" i="3"/>
  <c r="I43" i="3"/>
  <c r="I44" i="3"/>
  <c r="I45" i="3"/>
  <c r="I37" i="3"/>
  <c r="I38" i="3"/>
  <c r="I39" i="3"/>
  <c r="I40" i="3"/>
  <c r="I41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20" i="3"/>
  <c r="I21" i="3"/>
  <c r="I22" i="3"/>
  <c r="I23" i="3"/>
  <c r="I18" i="3"/>
  <c r="I19" i="3"/>
  <c r="I17" i="3"/>
  <c r="D10" i="3"/>
  <c r="D9" i="3"/>
  <c r="D7" i="3"/>
  <c r="D6" i="3"/>
  <c r="Q45" i="6" l="1"/>
  <c r="W46" i="6"/>
  <c r="W45" i="6"/>
  <c r="Q44" i="6"/>
  <c r="Q46" i="6"/>
  <c r="W44" i="6"/>
  <c r="M69" i="6"/>
  <c r="L69" i="6"/>
  <c r="K69" i="6"/>
  <c r="J69" i="6"/>
  <c r="N69" i="6" s="1"/>
  <c r="F69" i="6"/>
  <c r="E69" i="6"/>
  <c r="L68" i="6"/>
  <c r="K68" i="6"/>
  <c r="J68" i="6"/>
  <c r="F68" i="6"/>
  <c r="E68" i="6"/>
  <c r="C68" i="6"/>
  <c r="M67" i="6"/>
  <c r="L67" i="6"/>
  <c r="K67" i="6"/>
  <c r="J67" i="6"/>
  <c r="N67" i="6" s="1"/>
  <c r="E67" i="6"/>
  <c r="D67" i="6"/>
  <c r="L66" i="6"/>
  <c r="E66" i="6"/>
  <c r="C69" i="6"/>
  <c r="C67" i="6"/>
  <c r="D69" i="6"/>
  <c r="F66" i="6"/>
  <c r="C66" i="6"/>
  <c r="D68" i="6"/>
  <c r="D66" i="6"/>
  <c r="M68" i="6"/>
  <c r="F67" i="6"/>
  <c r="M66" i="6"/>
  <c r="J66" i="6"/>
  <c r="N66" i="6" s="1"/>
  <c r="K66" i="6"/>
  <c r="Y46" i="4"/>
  <c r="Z46" i="4"/>
  <c r="Y45" i="4"/>
  <c r="Z45" i="4"/>
  <c r="X46" i="4"/>
  <c r="W46" i="4" s="1"/>
  <c r="X45" i="4"/>
  <c r="W45" i="4" s="1"/>
  <c r="Y44" i="4"/>
  <c r="Z44" i="4"/>
  <c r="X44" i="4"/>
  <c r="W44" i="4" s="1"/>
  <c r="S46" i="4"/>
  <c r="T46" i="4"/>
  <c r="S45" i="4"/>
  <c r="T45" i="4"/>
  <c r="R46" i="4"/>
  <c r="Q46" i="4" s="1"/>
  <c r="R45" i="4"/>
  <c r="Q45" i="4" s="1"/>
  <c r="S44" i="4"/>
  <c r="T44" i="4"/>
  <c r="R44" i="4"/>
  <c r="Q44" i="4" s="1"/>
  <c r="K63" i="4"/>
  <c r="L63" i="4"/>
  <c r="M63" i="4"/>
  <c r="K62" i="4"/>
  <c r="L62" i="4"/>
  <c r="M62" i="4"/>
  <c r="K61" i="4"/>
  <c r="L61" i="4"/>
  <c r="M61" i="4"/>
  <c r="K60" i="4"/>
  <c r="L60" i="4"/>
  <c r="M60" i="4"/>
  <c r="J63" i="4"/>
  <c r="J62" i="4"/>
  <c r="J61" i="4"/>
  <c r="J60" i="4"/>
  <c r="K57" i="4"/>
  <c r="L57" i="4"/>
  <c r="M57" i="4"/>
  <c r="K56" i="4"/>
  <c r="L56" i="4"/>
  <c r="M56" i="4"/>
  <c r="K55" i="4"/>
  <c r="L55" i="4"/>
  <c r="M55" i="4"/>
  <c r="J57" i="4"/>
  <c r="J56" i="4"/>
  <c r="J55" i="4"/>
  <c r="K54" i="4"/>
  <c r="L54" i="4"/>
  <c r="M54" i="4"/>
  <c r="J54" i="4"/>
  <c r="D63" i="4"/>
  <c r="E63" i="4"/>
  <c r="F63" i="4"/>
  <c r="D62" i="4"/>
  <c r="E62" i="4"/>
  <c r="F62" i="4"/>
  <c r="C63" i="4"/>
  <c r="C62" i="4"/>
  <c r="D61" i="4"/>
  <c r="E61" i="4"/>
  <c r="F61" i="4"/>
  <c r="C61" i="4"/>
  <c r="D60" i="4"/>
  <c r="E60" i="4"/>
  <c r="F60" i="4"/>
  <c r="C60" i="4"/>
  <c r="C54" i="4"/>
  <c r="D57" i="4"/>
  <c r="E57" i="4"/>
  <c r="F57" i="4"/>
  <c r="C57" i="4"/>
  <c r="D56" i="4"/>
  <c r="E56" i="4"/>
  <c r="F56" i="4"/>
  <c r="C56" i="4"/>
  <c r="D55" i="4"/>
  <c r="E55" i="4"/>
  <c r="F55" i="4"/>
  <c r="C55" i="4"/>
  <c r="E54" i="4"/>
  <c r="F54" i="4"/>
  <c r="D54" i="4"/>
  <c r="U13" i="7"/>
  <c r="V13" i="7"/>
  <c r="T14" i="7"/>
  <c r="T13" i="7"/>
  <c r="T15" i="7"/>
  <c r="T16" i="7"/>
  <c r="J44" i="3"/>
  <c r="L37" i="3"/>
  <c r="K37" i="3"/>
  <c r="J37" i="3"/>
  <c r="L36" i="3"/>
  <c r="K36" i="3"/>
  <c r="J36" i="3"/>
  <c r="L35" i="3"/>
  <c r="K35" i="3"/>
  <c r="J35" i="3"/>
  <c r="L34" i="3"/>
  <c r="K34" i="3"/>
  <c r="J34" i="3"/>
  <c r="L33" i="3"/>
  <c r="K33" i="3"/>
  <c r="J33" i="3"/>
  <c r="L32" i="3"/>
  <c r="K32" i="3"/>
  <c r="J32" i="3"/>
  <c r="L31" i="3"/>
  <c r="K31" i="3"/>
  <c r="J31" i="3"/>
  <c r="L30" i="3"/>
  <c r="K30" i="3"/>
  <c r="J30" i="3"/>
  <c r="L29" i="3"/>
  <c r="K29" i="3"/>
  <c r="J29" i="3"/>
  <c r="L28" i="3"/>
  <c r="K28" i="3"/>
  <c r="J28" i="3"/>
  <c r="L27" i="3"/>
  <c r="K27" i="3"/>
  <c r="J27" i="3"/>
  <c r="L26" i="3"/>
  <c r="K26" i="3"/>
  <c r="J26" i="3"/>
  <c r="L25" i="3"/>
  <c r="K25" i="3"/>
  <c r="J25" i="3"/>
  <c r="L44" i="3"/>
  <c r="L42" i="3"/>
  <c r="J43" i="3"/>
  <c r="L43" i="3"/>
  <c r="J42" i="3"/>
  <c r="K42" i="3"/>
  <c r="K46" i="3"/>
  <c r="L46" i="3"/>
  <c r="J46" i="3"/>
  <c r="K44" i="3"/>
  <c r="K43" i="3"/>
  <c r="D56" i="3"/>
  <c r="C56" i="3"/>
  <c r="E56" i="3"/>
  <c r="F56" i="3"/>
  <c r="C22" i="3"/>
  <c r="E22" i="3"/>
  <c r="D23" i="3"/>
  <c r="F23" i="3"/>
  <c r="D24" i="3"/>
  <c r="F24" i="3"/>
  <c r="D25" i="3"/>
  <c r="F25" i="3"/>
  <c r="D26" i="3"/>
  <c r="C27" i="3"/>
  <c r="E27" i="3"/>
  <c r="C28" i="3"/>
  <c r="E28" i="3"/>
  <c r="C29" i="3"/>
  <c r="E29" i="3"/>
  <c r="C30" i="3"/>
  <c r="E30" i="3"/>
  <c r="C31" i="3"/>
  <c r="E31" i="3"/>
  <c r="C32" i="3"/>
  <c r="E32" i="3"/>
  <c r="C33" i="3"/>
  <c r="E33" i="3"/>
  <c r="F33" i="3"/>
  <c r="D34" i="3"/>
  <c r="C37" i="3"/>
  <c r="E37" i="3"/>
  <c r="C38" i="3"/>
  <c r="E38" i="3"/>
  <c r="C39" i="3"/>
  <c r="F50" i="3"/>
  <c r="E51" i="3"/>
  <c r="C52" i="3"/>
  <c r="F52" i="3"/>
  <c r="E53" i="3"/>
  <c r="D54" i="3"/>
  <c r="C55" i="3"/>
  <c r="F55" i="3"/>
  <c r="D22" i="3"/>
  <c r="F22" i="3"/>
  <c r="C23" i="3"/>
  <c r="E23" i="3"/>
  <c r="C24" i="3"/>
  <c r="E24" i="3"/>
  <c r="C25" i="3"/>
  <c r="E25" i="3"/>
  <c r="C26" i="3"/>
  <c r="E26" i="3"/>
  <c r="F26" i="3"/>
  <c r="D27" i="3"/>
  <c r="F27" i="3"/>
  <c r="D28" i="3"/>
  <c r="F28" i="3"/>
  <c r="D29" i="3"/>
  <c r="F29" i="3"/>
  <c r="D30" i="3"/>
  <c r="F30" i="3"/>
  <c r="D31" i="3"/>
  <c r="F31" i="3"/>
  <c r="D32" i="3"/>
  <c r="F32" i="3"/>
  <c r="D33" i="3"/>
  <c r="C34" i="3"/>
  <c r="E34" i="3"/>
  <c r="F34" i="3"/>
  <c r="C35" i="3"/>
  <c r="D35" i="3"/>
  <c r="E35" i="3"/>
  <c r="F35" i="3"/>
  <c r="C36" i="3"/>
  <c r="D36" i="3"/>
  <c r="E36" i="3"/>
  <c r="F36" i="3"/>
  <c r="D37" i="3"/>
  <c r="F37" i="3"/>
  <c r="D38" i="3"/>
  <c r="F38" i="3"/>
  <c r="E50" i="3"/>
  <c r="D51" i="3"/>
  <c r="E52" i="3"/>
  <c r="D53" i="3"/>
  <c r="C54" i="3"/>
  <c r="F54" i="3"/>
  <c r="E55" i="3"/>
  <c r="D39" i="3"/>
  <c r="E39" i="3"/>
  <c r="F39" i="3"/>
  <c r="C40" i="3"/>
  <c r="D40" i="3"/>
  <c r="E40" i="3"/>
  <c r="F40" i="3"/>
  <c r="C41" i="3"/>
  <c r="D41" i="3"/>
  <c r="E41" i="3"/>
  <c r="F41" i="3"/>
  <c r="C42" i="3"/>
  <c r="D42" i="3"/>
  <c r="E42" i="3"/>
  <c r="F42" i="3"/>
  <c r="C43" i="3"/>
  <c r="D43" i="3"/>
  <c r="E43" i="3"/>
  <c r="F43" i="3"/>
  <c r="C44" i="3"/>
  <c r="D44" i="3"/>
  <c r="E44" i="3"/>
  <c r="F44" i="3"/>
  <c r="C45" i="3"/>
  <c r="D45" i="3"/>
  <c r="E45" i="3"/>
  <c r="F45" i="3"/>
  <c r="C46" i="3"/>
  <c r="D46" i="3"/>
  <c r="E46" i="3"/>
  <c r="F46" i="3"/>
  <c r="C47" i="3"/>
  <c r="D47" i="3"/>
  <c r="E47" i="3"/>
  <c r="F47" i="3"/>
  <c r="C48" i="3"/>
  <c r="D48" i="3"/>
  <c r="E48" i="3"/>
  <c r="F48" i="3"/>
  <c r="C49" i="3"/>
  <c r="D49" i="3"/>
  <c r="E49" i="3"/>
  <c r="F49" i="3"/>
  <c r="C50" i="3"/>
  <c r="D50" i="3"/>
  <c r="C51" i="3"/>
  <c r="F51" i="3"/>
  <c r="D52" i="3"/>
  <c r="C53" i="3"/>
  <c r="F53" i="3"/>
  <c r="E54" i="3"/>
  <c r="D55" i="3"/>
  <c r="C19" i="3"/>
  <c r="F19" i="3"/>
  <c r="D20" i="3"/>
  <c r="E20" i="3"/>
  <c r="C21" i="3"/>
  <c r="F21" i="3"/>
  <c r="D18" i="3"/>
  <c r="D19" i="3"/>
  <c r="E19" i="3"/>
  <c r="C20" i="3"/>
  <c r="F20" i="3"/>
  <c r="D21" i="3"/>
  <c r="E21" i="3"/>
  <c r="C18" i="3"/>
  <c r="E18" i="3"/>
  <c r="F18" i="3"/>
  <c r="D17" i="3"/>
  <c r="F17" i="3"/>
  <c r="N68" i="6" l="1"/>
  <c r="G69" i="6"/>
  <c r="G68" i="6"/>
  <c r="G67" i="6"/>
  <c r="G66" i="6"/>
  <c r="F66" i="4"/>
  <c r="D67" i="4"/>
  <c r="E67" i="4"/>
  <c r="F67" i="4"/>
  <c r="C66" i="4"/>
  <c r="C67" i="4"/>
  <c r="G67" i="4" s="1"/>
  <c r="D69" i="4"/>
  <c r="E69" i="4"/>
  <c r="E66" i="4"/>
  <c r="J66" i="4"/>
  <c r="J67" i="4"/>
  <c r="J69" i="4"/>
  <c r="J68" i="4"/>
  <c r="L68" i="4"/>
  <c r="K66" i="4"/>
  <c r="L66" i="4"/>
  <c r="M66" i="4"/>
  <c r="K67" i="4"/>
  <c r="L67" i="4"/>
  <c r="M67" i="4"/>
  <c r="K69" i="4"/>
  <c r="L69" i="4"/>
  <c r="M69" i="4"/>
  <c r="K68" i="4"/>
  <c r="M68" i="4"/>
  <c r="D66" i="4"/>
  <c r="G66" i="4" s="1"/>
  <c r="F69" i="4"/>
  <c r="C69" i="4"/>
  <c r="G69" i="4" s="1"/>
  <c r="D68" i="4"/>
  <c r="E68" i="4"/>
  <c r="F68" i="4"/>
  <c r="C68" i="4"/>
  <c r="K4" i="7"/>
  <c r="H7" i="7"/>
  <c r="I5" i="7"/>
  <c r="K5" i="7"/>
  <c r="I6" i="7"/>
  <c r="H6" i="7"/>
  <c r="J4" i="7"/>
  <c r="K6" i="7"/>
  <c r="I7" i="7"/>
  <c r="K7" i="7"/>
  <c r="H5" i="7"/>
  <c r="J7" i="7"/>
  <c r="J5" i="7"/>
  <c r="J6" i="7"/>
  <c r="G68" i="4" l="1"/>
  <c r="N67" i="4"/>
  <c r="N68" i="4"/>
  <c r="N66" i="4"/>
  <c r="N69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<sst xmlns="http://schemas.openxmlformats.org/spreadsheetml/2006/main" count="8351" uniqueCount="182">
  <si>
    <t>Timestamp</t>
  </si>
  <si>
    <t>How old are you?</t>
  </si>
  <si>
    <t>Do you have any experience in creating/designing art?</t>
  </si>
  <si>
    <t>[A]</t>
  </si>
  <si>
    <t>[B]</t>
  </si>
  <si>
    <t>[C]</t>
  </si>
  <si>
    <t>[D]</t>
  </si>
  <si>
    <t>Email Address</t>
  </si>
  <si>
    <t>Column 73</t>
  </si>
  <si>
    <t>18 - 24 years old</t>
  </si>
  <si>
    <t>No experience</t>
  </si>
  <si>
    <t>1st</t>
  </si>
  <si>
    <t>4th</t>
  </si>
  <si>
    <t>2nd</t>
  </si>
  <si>
    <t>3rd</t>
  </si>
  <si>
    <t>I create/design art as a hobby for fun</t>
  </si>
  <si>
    <t>I consider myself as an artist</t>
  </si>
  <si>
    <t>25 - 34 years old</t>
  </si>
  <si>
    <t>kiska.larissa08@gmail.com</t>
  </si>
  <si>
    <t>menecrume900@gmail.com</t>
  </si>
  <si>
    <t>haumarvin@gmail.com</t>
  </si>
  <si>
    <t>mmichaelwilson767@gmail.com</t>
  </si>
  <si>
    <t>topspingabriel@gmail.com</t>
  </si>
  <si>
    <t>45+ years old</t>
  </si>
  <si>
    <t>akimtanty@gmail.com</t>
  </si>
  <si>
    <t>35 - 44 years old</t>
  </si>
  <si>
    <t>mardiantus@gmail.com</t>
  </si>
  <si>
    <t>wendyanderson381@gmail.com</t>
  </si>
  <si>
    <t>vwibawa@gmail.com</t>
  </si>
  <si>
    <t>yessicaliong@gmail.com</t>
  </si>
  <si>
    <t>diana.limas813@gmail.com</t>
  </si>
  <si>
    <t>hartanamaria80@gmail.com</t>
  </si>
  <si>
    <t>ohaiostanley@gmail.com</t>
  </si>
  <si>
    <t>natashayanni17@gmail.com</t>
  </si>
  <si>
    <t>cornelis.apreadi@gmail.com</t>
  </si>
  <si>
    <t>richardbudiman77@gmail.com</t>
  </si>
  <si>
    <t>siska.katili1984@gmail.com</t>
  </si>
  <si>
    <t>tammy.valent@gmail.com</t>
  </si>
  <si>
    <t>kenn.lim04@gmail.com</t>
  </si>
  <si>
    <t>odeva1310@gmail.com</t>
  </si>
  <si>
    <t>karinairawati26@gmail.com</t>
  </si>
  <si>
    <t>punyainge@gmail.com</t>
  </si>
  <si>
    <t>vicahera1201@gmail.com</t>
  </si>
  <si>
    <t>thea.other.17@gmail.com</t>
  </si>
  <si>
    <t>mamak3y@gmail.com</t>
  </si>
  <si>
    <t>siscalie85@gmail.com</t>
  </si>
  <si>
    <t>shantieluanda@gmail.com</t>
  </si>
  <si>
    <t>d1an8610@gmail.com</t>
  </si>
  <si>
    <t>tommybudiman95@gmail.com</t>
  </si>
  <si>
    <t>obadiah.hrth@gmail.com</t>
  </si>
  <si>
    <t>anselmus.edric123@gmail.com</t>
  </si>
  <si>
    <t>richardwlmdaniel@gmail.com</t>
  </si>
  <si>
    <t>jason.koesmanggala@gmail.com</t>
  </si>
  <si>
    <t>klm8802a@gmail.com</t>
  </si>
  <si>
    <t>ssudirwan@gmail.com</t>
  </si>
  <si>
    <t>1st (Best)</t>
  </si>
  <si>
    <t>4th (Worst)</t>
  </si>
  <si>
    <t>3rd (Worst)</t>
  </si>
  <si>
    <t>jessrthomasss@gmail.com</t>
  </si>
  <si>
    <t>josephhenrykusuma@gmail.com</t>
  </si>
  <si>
    <t>Number of Participants</t>
  </si>
  <si>
    <t>&lt;= 24 years old</t>
  </si>
  <si>
    <t>&gt; 24 years old</t>
  </si>
  <si>
    <t>No Experience</t>
  </si>
  <si>
    <t>Has Experience</t>
  </si>
  <si>
    <t>A</t>
  </si>
  <si>
    <t>A 2</t>
  </si>
  <si>
    <t>A 3</t>
  </si>
  <si>
    <t>A 4</t>
  </si>
  <si>
    <t>A 5</t>
  </si>
  <si>
    <t>A 6</t>
  </si>
  <si>
    <t>A 7</t>
  </si>
  <si>
    <t>A 8</t>
  </si>
  <si>
    <t>A 9</t>
  </si>
  <si>
    <t>A 10</t>
  </si>
  <si>
    <t>A 11</t>
  </si>
  <si>
    <t>A 12</t>
  </si>
  <si>
    <t>A 13</t>
  </si>
  <si>
    <t>A 14</t>
  </si>
  <si>
    <t>A 15</t>
  </si>
  <si>
    <t>A 16</t>
  </si>
  <si>
    <t>A 17</t>
  </si>
  <si>
    <t>A 18</t>
  </si>
  <si>
    <t>A 19</t>
  </si>
  <si>
    <t>A 20</t>
  </si>
  <si>
    <t>B</t>
  </si>
  <si>
    <t>B 2</t>
  </si>
  <si>
    <t>B 3</t>
  </si>
  <si>
    <t>B 4</t>
  </si>
  <si>
    <t>B 5</t>
  </si>
  <si>
    <t>B 6</t>
  </si>
  <si>
    <t>B 7</t>
  </si>
  <si>
    <t>B 8</t>
  </si>
  <si>
    <t>B 9</t>
  </si>
  <si>
    <t>B 10</t>
  </si>
  <si>
    <t>B 11</t>
  </si>
  <si>
    <t>B 12</t>
  </si>
  <si>
    <t>B 13</t>
  </si>
  <si>
    <t>B 14</t>
  </si>
  <si>
    <t>B 15</t>
  </si>
  <si>
    <t>B 16</t>
  </si>
  <si>
    <t>B 17</t>
  </si>
  <si>
    <t>B 18</t>
  </si>
  <si>
    <t>B 19</t>
  </si>
  <si>
    <t>B 20</t>
  </si>
  <si>
    <t>C</t>
  </si>
  <si>
    <t>C 2</t>
  </si>
  <si>
    <t>C 3</t>
  </si>
  <si>
    <t>C 4</t>
  </si>
  <si>
    <t>C 5</t>
  </si>
  <si>
    <t>C 6</t>
  </si>
  <si>
    <t>C 7</t>
  </si>
  <si>
    <t>C 8</t>
  </si>
  <si>
    <t>C 9</t>
  </si>
  <si>
    <t>C 10</t>
  </si>
  <si>
    <t>C 11</t>
  </si>
  <si>
    <t>C 12</t>
  </si>
  <si>
    <t>C 13</t>
  </si>
  <si>
    <t>C 14</t>
  </si>
  <si>
    <t>C 15</t>
  </si>
  <si>
    <t>C 16</t>
  </si>
  <si>
    <t>C 17</t>
  </si>
  <si>
    <t>C 18</t>
  </si>
  <si>
    <t>C 19</t>
  </si>
  <si>
    <t>C 20</t>
  </si>
  <si>
    <t>D</t>
  </si>
  <si>
    <t>D 2</t>
  </si>
  <si>
    <t>D 3</t>
  </si>
  <si>
    <t>D 4</t>
  </si>
  <si>
    <t>D 5</t>
  </si>
  <si>
    <t>D 6</t>
  </si>
  <si>
    <t>D 7</t>
  </si>
  <si>
    <t>D 8</t>
  </si>
  <si>
    <t>D 9</t>
  </si>
  <si>
    <t>D 10</t>
  </si>
  <si>
    <t>Q 1,3,5,7,9</t>
  </si>
  <si>
    <t>Option</t>
  </si>
  <si>
    <t>Question 1-10</t>
  </si>
  <si>
    <t>Questions 11-20</t>
  </si>
  <si>
    <t>A(Both Adapters)</t>
  </si>
  <si>
    <t>B(None)</t>
  </si>
  <si>
    <t>C(ControlNet)</t>
  </si>
  <si>
    <t>D(IP Adapter)</t>
  </si>
  <si>
    <t>A(IP Adapter)</t>
  </si>
  <si>
    <t>B(ControlNet)</t>
  </si>
  <si>
    <t>C(None)</t>
  </si>
  <si>
    <t>D(Both Adapter)</t>
  </si>
  <si>
    <t>Both Adapter</t>
  </si>
  <si>
    <t>No Adapter</t>
  </si>
  <si>
    <t>IP Adapter</t>
  </si>
  <si>
    <t>ControlNet</t>
  </si>
  <si>
    <t>Total Score</t>
  </si>
  <si>
    <t>Module</t>
  </si>
  <si>
    <t>A(SDXL Base)</t>
  </si>
  <si>
    <t>B(SDXL Lightning)</t>
  </si>
  <si>
    <t>C(SDXL Turbo)</t>
  </si>
  <si>
    <t>Adapter Comparison</t>
  </si>
  <si>
    <t>Model Comparison</t>
  </si>
  <si>
    <t>Total</t>
  </si>
  <si>
    <t>Total Odd</t>
  </si>
  <si>
    <t>Total Even</t>
  </si>
  <si>
    <t>Adapter Comparison : General</t>
  </si>
  <si>
    <t>Model Comparison : General</t>
  </si>
  <si>
    <t>Adapter Comparison : &lt;= 24 years old</t>
  </si>
  <si>
    <t>Adapter Comparison: &gt;24 years old</t>
  </si>
  <si>
    <t>Model Comparison : &lt;= 24 years old</t>
  </si>
  <si>
    <t>Model Comparison: &gt;24 years old</t>
  </si>
  <si>
    <t>Adapter Comparison: no experience</t>
  </si>
  <si>
    <t>Adapter Comparison: has experience</t>
  </si>
  <si>
    <t>Model Comparison: no experience</t>
  </si>
  <si>
    <t>Model Comparison: has experience</t>
  </si>
  <si>
    <t>Total Participants</t>
  </si>
  <si>
    <t>no experience</t>
  </si>
  <si>
    <t>has experience</t>
  </si>
  <si>
    <r>
      <t>Raw Data</t>
    </r>
    <r>
      <rPr>
        <sz val="10"/>
        <color theme="1"/>
        <rFont val="Aptos Narrow"/>
        <family val="2"/>
        <scheme val="minor"/>
      </rPr>
      <t xml:space="preserve"> → Original responses</t>
    </r>
  </si>
  <si>
    <r>
      <t>Processed Data</t>
    </r>
    <r>
      <rPr>
        <sz val="10"/>
        <color theme="1"/>
        <rFont val="Aptos Narrow"/>
        <family val="2"/>
        <scheme val="minor"/>
      </rPr>
      <t xml:space="preserve"> → Cleaned &amp; structured data</t>
    </r>
  </si>
  <si>
    <r>
      <t>Tally Count</t>
    </r>
    <r>
      <rPr>
        <sz val="10"/>
        <color theme="1"/>
        <rFont val="Aptos Narrow"/>
        <family val="2"/>
        <scheme val="minor"/>
      </rPr>
      <t xml:space="preserve"> → Rank totals</t>
    </r>
  </si>
  <si>
    <r>
      <t>Adapter Comparison</t>
    </r>
    <r>
      <rPr>
        <sz val="10"/>
        <color theme="1"/>
        <rFont val="Aptos Narrow"/>
        <family val="2"/>
        <scheme val="minor"/>
      </rPr>
      <t xml:space="preserve"> → Adapter performance</t>
    </r>
  </si>
  <si>
    <r>
      <t>Model Comparison</t>
    </r>
    <r>
      <rPr>
        <sz val="10"/>
        <color theme="1"/>
        <rFont val="Aptos Narrow"/>
        <family val="2"/>
        <scheme val="minor"/>
      </rPr>
      <t xml:space="preserve"> → Model performance</t>
    </r>
  </si>
  <si>
    <r>
      <t>Age Sub Group</t>
    </r>
    <r>
      <rPr>
        <sz val="10"/>
        <color theme="1"/>
        <rFont val="Aptos Narrow"/>
        <family val="2"/>
        <scheme val="minor"/>
      </rPr>
      <t xml:space="preserve"> → Age-based analysis</t>
    </r>
  </si>
  <si>
    <r>
      <t>Experience Sub Group</t>
    </r>
    <r>
      <rPr>
        <sz val="10"/>
        <color theme="1"/>
        <rFont val="Aptos Narrow"/>
        <family val="2"/>
        <scheme val="minor"/>
      </rPr>
      <t xml:space="preserve"> → Experience-based analysis</t>
    </r>
  </si>
  <si>
    <t>Sheet Overview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</si>
</sst>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1" x14ac:knownFonts="1">
    <font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rgb="FFFFFFFF"/>
      <name val="Roboto"/>
    </font>
    <font>
      <sz val="10"/>
      <color rgb="FF434343"/>
      <name val="Roboto"/>
    </font>
    <font>
      <sz val="10"/>
      <color theme="1"/>
      <name val="Arial"/>
      <family val="2"/>
    </font>
    <font>
      <b/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5B3F8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17">
    <border>
      <left/>
      <right/>
      <top/>
      <bottom/>
      <diagonal/>
    </border>
    <border>
      <left style="medium">
        <color rgb="FF442F65"/>
      </left>
      <right style="medium">
        <color rgb="FF5B3F86"/>
      </right>
      <top style="medium">
        <color rgb="FF442F65"/>
      </top>
      <bottom style="medium">
        <color rgb="FF442F65"/>
      </bottom>
      <diagonal/>
    </border>
    <border>
      <left style="medium">
        <color rgb="FFCCCCCC"/>
      </left>
      <right style="medium">
        <color rgb="FF5B3F86"/>
      </right>
      <top style="medium">
        <color rgb="FF442F65"/>
      </top>
      <bottom style="medium">
        <color rgb="FF442F65"/>
      </bottom>
      <diagonal/>
    </border>
    <border>
      <left style="medium">
        <color rgb="FFCCCCCC"/>
      </left>
      <right style="medium">
        <color rgb="FF442F65"/>
      </right>
      <top style="medium">
        <color rgb="FF442F65"/>
      </top>
      <bottom style="medium">
        <color rgb="FF442F65"/>
      </bottom>
      <diagonal/>
    </border>
    <border>
      <left style="medium">
        <color rgb="FF442F65"/>
      </left>
      <right style="medium">
        <color rgb="FFFFFFFF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442F65"/>
      </right>
      <top style="medium">
        <color rgb="FFCCCCCC"/>
      </top>
      <bottom style="medium">
        <color rgb="FFF8F9FA"/>
      </bottom>
      <diagonal/>
    </border>
    <border>
      <left style="medium">
        <color rgb="FF442F65"/>
      </left>
      <right style="medium">
        <color rgb="FFF8F9FA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F8F9FA"/>
      </right>
      <top style="medium">
        <color rgb="FFCCCCCC"/>
      </top>
      <bottom style="medium">
        <color rgb="FFF8F9FA"/>
      </bottom>
      <diagonal/>
    </border>
    <border>
      <left style="medium">
        <color rgb="FF442F65"/>
      </left>
      <right style="medium">
        <color rgb="FFFFFFFF"/>
      </right>
      <top style="medium">
        <color rgb="FFCCCCCC"/>
      </top>
      <bottom style="medium">
        <color rgb="FF442F65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442F65"/>
      </bottom>
      <diagonal/>
    </border>
    <border>
      <left style="medium">
        <color rgb="FFCCCCCC"/>
      </left>
      <right style="medium">
        <color rgb="FF442F65"/>
      </right>
      <top style="medium">
        <color rgb="FFCCCCCC"/>
      </top>
      <bottom style="medium">
        <color rgb="FF442F65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/>
      <right style="thin">
        <color theme="4" tint="0.39997558519241921"/>
      </right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22" fontId="2" fillId="0" borderId="0" xfId="0" applyNumberFormat="1" applyFont="1"/>
    <xf numFmtId="0" fontId="2" fillId="0" borderId="0" xfId="0" applyFont="1"/>
    <xf numFmtId="0" fontId="3" fillId="2" borderId="1" xfId="0" applyFont="1" applyFill="1" applyBorder="1" applyAlignment="1">
      <alignment vertical="center" wrapText="1"/>
    </xf>
    <xf numFmtId="0" fontId="3" fillId="2" borderId="2" xfId="0" applyFont="1" applyFill="1" applyBorder="1" applyAlignment="1">
      <alignment vertical="center" wrapText="1"/>
    </xf>
    <xf numFmtId="0" fontId="3" fillId="2" borderId="3" xfId="0" applyFont="1" applyFill="1" applyBorder="1" applyAlignment="1">
      <alignment vertical="center" wrapText="1"/>
    </xf>
    <xf numFmtId="22" fontId="4" fillId="3" borderId="4" xfId="0" applyNumberFormat="1" applyFont="1" applyFill="1" applyBorder="1" applyAlignment="1">
      <alignment horizontal="right" vertical="center" wrapText="1"/>
    </xf>
    <xf numFmtId="0" fontId="4" fillId="3" borderId="5" xfId="0" applyFont="1" applyFill="1" applyBorder="1" applyAlignment="1">
      <alignment vertical="center" wrapText="1"/>
    </xf>
    <xf numFmtId="0" fontId="5" fillId="3" borderId="5" xfId="0" applyFont="1" applyFill="1" applyBorder="1" applyAlignment="1">
      <alignment vertical="center" wrapText="1"/>
    </xf>
    <xf numFmtId="0" fontId="5" fillId="3" borderId="6" xfId="0" applyFont="1" applyFill="1" applyBorder="1" applyAlignment="1">
      <alignment vertical="center" wrapText="1"/>
    </xf>
    <xf numFmtId="22" fontId="4" fillId="4" borderId="7" xfId="0" applyNumberFormat="1" applyFont="1" applyFill="1" applyBorder="1" applyAlignment="1">
      <alignment horizontal="right" vertical="center" wrapText="1"/>
    </xf>
    <xf numFmtId="0" fontId="4" fillId="4" borderId="8" xfId="0" applyFont="1" applyFill="1" applyBorder="1" applyAlignment="1">
      <alignment vertical="center" wrapText="1"/>
    </xf>
    <xf numFmtId="0" fontId="5" fillId="4" borderId="8" xfId="0" applyFont="1" applyFill="1" applyBorder="1" applyAlignment="1">
      <alignment vertical="center" wrapText="1"/>
    </xf>
    <xf numFmtId="0" fontId="5" fillId="4" borderId="6" xfId="0" applyFont="1" applyFill="1" applyBorder="1" applyAlignment="1">
      <alignment vertical="center" wrapText="1"/>
    </xf>
    <xf numFmtId="22" fontId="4" fillId="3" borderId="9" xfId="0" applyNumberFormat="1" applyFont="1" applyFill="1" applyBorder="1" applyAlignment="1">
      <alignment horizontal="right" vertical="center" wrapText="1"/>
    </xf>
    <xf numFmtId="0" fontId="4" fillId="3" borderId="10" xfId="0" applyFont="1" applyFill="1" applyBorder="1" applyAlignment="1">
      <alignment vertical="center" wrapText="1"/>
    </xf>
    <xf numFmtId="0" fontId="5" fillId="3" borderId="11" xfId="0" applyFont="1" applyFill="1" applyBorder="1" applyAlignment="1">
      <alignment vertical="center" wrapText="1"/>
    </xf>
    <xf numFmtId="0" fontId="1" fillId="0" borderId="12" xfId="0" applyFont="1" applyBorder="1" applyAlignment="1">
      <alignment horizontal="center" vertical="top"/>
    </xf>
    <xf numFmtId="0" fontId="0" fillId="6" borderId="14" xfId="0" applyFill="1" applyBorder="1"/>
    <xf numFmtId="0" fontId="0" fillId="6" borderId="15" xfId="0" applyFill="1" applyBorder="1"/>
    <xf numFmtId="0" fontId="0" fillId="0" borderId="14" xfId="0" applyBorder="1"/>
    <xf numFmtId="0" fontId="0" fillId="0" borderId="15" xfId="0" applyBorder="1"/>
    <xf numFmtId="0" fontId="6" fillId="5" borderId="0" xfId="0" applyFont="1" applyFill="1"/>
    <xf numFmtId="0" fontId="6" fillId="5" borderId="16" xfId="0" applyFont="1" applyFill="1" applyBorder="1"/>
    <xf numFmtId="0" fontId="0" fillId="0" borderId="13" xfId="0" applyBorder="1"/>
    <xf numFmtId="0" fontId="0" fillId="0" borderId="0" xfId="0" applyAlignment="1">
      <alignment horizontal="center"/>
    </xf>
    <xf numFmtId="0" fontId="9" fillId="0" borderId="0" xfId="0" applyFont="1" applyAlignment="1">
      <alignment vertical="center"/>
    </xf>
    <xf numFmtId="0" fontId="8" fillId="0" borderId="0" xfId="0" applyFont="1"/>
  </cellXfs>
  <cellStyles count="1">
    <cellStyle name="Normal" xfId="0" builtinId="0"/>
  </cellStyles>
  <dxfs count="8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27" formatCode="m/d/yyyy\ h:mm"/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left style="thin">
          <color theme="4" tint="0.39997558519241921"/>
        </left>
        <top style="thin">
          <color theme="4" tint="0.39997558519241921"/>
        </top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  <border diagonalUp="0" diagonalDown="0" outline="0">
        <left style="thin">
          <color theme="4" tint="0.39997558519241921"/>
        </left>
        <right style="thin">
          <color theme="4" tint="0.39997558519241921"/>
        </right>
        <top/>
        <bottom/>
      </border>
    </dxf>
    <dxf>
      <border outline="0">
        <left style="thin">
          <color theme="4" tint="0.39997558519241921"/>
        </left>
        <top style="thin">
          <color theme="4" tint="0.39997558519241921"/>
        </top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</dxfs>
  <tableStyles count="1" defaultTableStyle="TableStyleMedium2" defaultPivotStyle="PivotStyleLight16">
    <tableStyle name="Invisible" pivot="0" table="0" count="0" xr9:uid="{E328AC50-7ACF-47AE-A6A6-A46518EEB3C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368901A-C1E2-4ED0-86F5-7AB93B09CCD7}" name="Table4" displayName="Table4" ref="B16:G20" totalsRowShown="0">
  <autoFilter ref="B16:G20" xr:uid="{C368901A-C1E2-4ED0-86F5-7AB93B09CCD7}"/>
  <sortState xmlns:xlrd2="http://schemas.microsoft.com/office/spreadsheetml/2017/richdata2" ref="B17:G20">
    <sortCondition descending="1" ref="G16:G20"/>
  </sortState>
  <tableColumns count="6">
    <tableColumn id="1" xr3:uid="{61F0742B-B90B-43A5-820A-AC296A9B3743}" name="Module"/>
    <tableColumn id="2" xr3:uid="{5E57795B-5A3E-40BA-B4B3-A0089AE31863}" name="1st"/>
    <tableColumn id="3" xr3:uid="{BE528413-10B4-4D0D-ABC7-42ECCAC62CEA}" name="2nd"/>
    <tableColumn id="4" xr3:uid="{931982E9-3006-4BED-90F8-3562EF5DD3D8}" name="3rd"/>
    <tableColumn id="5" xr3:uid="{02606896-9C89-4F66-9CB5-ADE5DD3CBFAF}" name="4th"/>
    <tableColumn id="6" xr3:uid="{C539CB71-1F09-4B14-9318-708CE53BFD8E}" name="Total Scor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560DBF8-F34A-4B5B-BAFF-843DB30A1CAB}" name="Table5" displayName="Table5" ref="B23:G27" totalsRowShown="0">
  <autoFilter ref="B23:G27" xr:uid="{C560DBF8-F34A-4B5B-BAFF-843DB30A1CAB}"/>
  <sortState xmlns:xlrd2="http://schemas.microsoft.com/office/spreadsheetml/2017/richdata2" ref="B24:G27">
    <sortCondition descending="1" ref="G23:G27"/>
  </sortState>
  <tableColumns count="6">
    <tableColumn id="1" xr3:uid="{43D4DA66-B732-4894-A087-BC385E875938}" name="Module"/>
    <tableColumn id="2" xr3:uid="{A8A5DD0B-5A9C-4FA9-A83D-1CA77122E29A}" name="1st"/>
    <tableColumn id="3" xr3:uid="{D8396E89-09F5-4744-BC70-1F5A14842617}" name="2nd"/>
    <tableColumn id="4" xr3:uid="{0766F1ED-6396-4DB3-8A53-8798892428C8}" name="3rd"/>
    <tableColumn id="5" xr3:uid="{0B411A3F-9C44-41D5-8C45-557904263133}" name="4th"/>
    <tableColumn id="6" xr3:uid="{EA41B20A-8CDD-455C-A63C-E8F0961BB401}" name="Total Scor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BAE461C-B291-4DB9-B734-E699ECA10E0F}" name="Table6" displayName="Table6" ref="B30:G34" totalsRowShown="0">
  <autoFilter ref="B30:G34" xr:uid="{6BAE461C-B291-4DB9-B734-E699ECA10E0F}"/>
  <sortState xmlns:xlrd2="http://schemas.microsoft.com/office/spreadsheetml/2017/richdata2" ref="B31:G34">
    <sortCondition descending="1" ref="G30:G34"/>
  </sortState>
  <tableColumns count="6">
    <tableColumn id="1" xr3:uid="{413715EB-B6AD-48C4-84E1-12C61D261B06}" name="Module"/>
    <tableColumn id="2" xr3:uid="{AE209568-495C-4D60-9682-66AA1F635F08}" name="1st"/>
    <tableColumn id="3" xr3:uid="{9F4B76C6-F5F5-47CB-9E5C-BB88C209DD15}" name="2nd"/>
    <tableColumn id="4" xr3:uid="{BB4BD9C0-A769-4217-9F45-5FDD1EFDBB4D}" name="3rd"/>
    <tableColumn id="5" xr3:uid="{36A946B2-6550-472E-A4FC-1CD3B96945F5}" name="4th"/>
    <tableColumn id="6" xr3:uid="{4516DB48-A7FD-434C-9CC2-ACAB3E5C94B7}" name="Total Scor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BA28B244-7845-4758-9FA9-9EDC9E95F04C}" name="Table7" displayName="Table7" ref="B37:G41" totalsRowShown="0">
  <autoFilter ref="B37:G41" xr:uid="{BA28B244-7845-4758-9FA9-9EDC9E95F04C}"/>
  <sortState xmlns:xlrd2="http://schemas.microsoft.com/office/spreadsheetml/2017/richdata2" ref="B38:G41">
    <sortCondition descending="1" ref="G37:G41"/>
  </sortState>
  <tableColumns count="6">
    <tableColumn id="1" xr3:uid="{CB6ED283-1EA0-4083-996C-255E8CFE73EE}" name="Module"/>
    <tableColumn id="2" xr3:uid="{45A3F57B-F018-46FA-A6BC-ABCDA3AC542A}" name="1st"/>
    <tableColumn id="3" xr3:uid="{F727A2CC-9AFB-444C-A23B-A100316BBEEC}" name="2nd"/>
    <tableColumn id="4" xr3:uid="{BD79A134-284B-4837-9800-921CCEA25A9E}" name="3rd"/>
    <tableColumn id="5" xr3:uid="{A0EAF5A7-2309-4916-A545-35E5C31A5A77}" name="4th"/>
    <tableColumn id="6" xr3:uid="{5104C80F-3B6D-463B-9C01-EDCE0AD90DA3}" name="Total Scor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43E30866-358C-406E-90BC-9CE303A72B0C}" name="Table8" displayName="Table8" ref="B44:G48" totalsRowShown="0">
  <autoFilter ref="B44:G48" xr:uid="{43E30866-358C-406E-90BC-9CE303A72B0C}"/>
  <sortState xmlns:xlrd2="http://schemas.microsoft.com/office/spreadsheetml/2017/richdata2" ref="B45:G48">
    <sortCondition descending="1" ref="G44:G48"/>
  </sortState>
  <tableColumns count="6">
    <tableColumn id="1" xr3:uid="{2A22AAF9-DD55-44F1-AB05-69E357D927CB}" name="Module"/>
    <tableColumn id="2" xr3:uid="{66C59DC2-D231-47D5-B07D-7DAF5B6A2F5E}" name="1st"/>
    <tableColumn id="3" xr3:uid="{50820094-5072-45EC-82BE-A2E2F20408CA}" name="2nd"/>
    <tableColumn id="4" xr3:uid="{5EA4D842-25E7-4215-AE7A-4B1463FF9CAA}" name="3rd"/>
    <tableColumn id="5" xr3:uid="{CBF02D6F-2ADA-4CD2-A45B-3AC465DBF139}" name="4th"/>
    <tableColumn id="6" xr3:uid="{6ACE79FC-6AB6-4684-8FAD-47C2B1238A1A}" name="Total Scor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7F309BFB-6619-4905-8617-3C577F2A2C10}" name="Table9" displayName="Table9" ref="J16:N19" totalsRowShown="0">
  <autoFilter ref="J16:N19" xr:uid="{7F309BFB-6619-4905-8617-3C577F2A2C10}"/>
  <sortState xmlns:xlrd2="http://schemas.microsoft.com/office/spreadsheetml/2017/richdata2" ref="J17:N19">
    <sortCondition descending="1" ref="N16:N19"/>
  </sortState>
  <tableColumns count="5">
    <tableColumn id="1" xr3:uid="{C188C8E9-7814-4D35-A7A0-BBE5D6353709}" name="Option"/>
    <tableColumn id="2" xr3:uid="{09157188-1963-4E4A-A0E3-C9B9D8F3FD0B}" name="1st"/>
    <tableColumn id="3" xr3:uid="{966E5305-1BEE-4EE2-9179-E7FC511B8F48}" name="2nd"/>
    <tableColumn id="4" xr3:uid="{54336152-FC12-402F-8623-14DD6ECB9382}" name="3rd"/>
    <tableColumn id="5" xr3:uid="{CC3F40A3-401D-43F4-AFBE-D40EEEBEDD68}" name="Total Scor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822B605C-E4D0-43A5-8F5C-CEDA6C53283D}" name="Table10" displayName="Table10" ref="J22:N25" totalsRowShown="0">
  <autoFilter ref="J22:N25" xr:uid="{822B605C-E4D0-43A5-8F5C-CEDA6C53283D}"/>
  <sortState xmlns:xlrd2="http://schemas.microsoft.com/office/spreadsheetml/2017/richdata2" ref="J23:N25">
    <sortCondition descending="1" ref="N22:N25"/>
  </sortState>
  <tableColumns count="5">
    <tableColumn id="1" xr3:uid="{754FDA92-F1CF-4BE3-AD8D-152923DE700D}" name="Option"/>
    <tableColumn id="2" xr3:uid="{F96EE176-B4B0-4738-91A6-3D8C4D1036C5}" name="1st"/>
    <tableColumn id="3" xr3:uid="{430C25CB-38DF-4584-81E5-45B965E9924B}" name="2nd"/>
    <tableColumn id="4" xr3:uid="{D121FFFA-A923-424F-86BC-B28679D86A32}" name="3rd"/>
    <tableColumn id="5" xr3:uid="{3A813930-58D3-4E68-A95C-99AF823AD483}" name="Total Scor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6B17E860-F540-4993-91D0-14D4B112ADBA}" name="Table11" displayName="Table11" ref="J28:N31" totalsRowShown="0">
  <autoFilter ref="J28:N31" xr:uid="{6B17E860-F540-4993-91D0-14D4B112ADBA}"/>
  <sortState xmlns:xlrd2="http://schemas.microsoft.com/office/spreadsheetml/2017/richdata2" ref="J29:N31">
    <sortCondition descending="1" ref="N28:N31"/>
  </sortState>
  <tableColumns count="5">
    <tableColumn id="1" xr3:uid="{B241D8BC-3445-4E71-B0FB-DF69FA734EE5}" name="Option"/>
    <tableColumn id="2" xr3:uid="{B7225976-2AFE-4AF9-A7F1-3B604BB175B5}" name="1st"/>
    <tableColumn id="3" xr3:uid="{08DC1370-5BED-4F31-9BE7-0781F759AE7C}" name="2nd"/>
    <tableColumn id="4" xr3:uid="{C2AEA343-01B4-4FE5-AFB0-9E125E5AA01E}" name="3rd"/>
    <tableColumn id="5" xr3:uid="{EA531D22-C550-4056-AF15-F520A2C4B57C}" name="Total Scor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3B2F3397-6B8A-403C-8708-A33905AB2BF0}" name="Table14" displayName="Table14" ref="J34:N37" totalsRowShown="0" headerRowDxfId="82" tableBorderDxfId="81">
  <autoFilter ref="J34:N37" xr:uid="{3B2F3397-6B8A-403C-8708-A33905AB2BF0}"/>
  <sortState xmlns:xlrd2="http://schemas.microsoft.com/office/spreadsheetml/2017/richdata2" ref="J35:N37">
    <sortCondition descending="1" ref="N34:N37"/>
  </sortState>
  <tableColumns count="5">
    <tableColumn id="1" xr3:uid="{2D05F9EB-D637-4020-81BB-426913BC1FD9}" name="Option"/>
    <tableColumn id="2" xr3:uid="{A12F6920-7CEF-4267-A5B3-B407B2253871}" name="1st"/>
    <tableColumn id="3" xr3:uid="{F20994D8-F56D-480B-AF22-CCBF7CB9DCAF}" name="2nd"/>
    <tableColumn id="4" xr3:uid="{E75521A5-CC65-4286-BCD1-E9657CE40C7B}" name="3rd"/>
    <tableColumn id="5" xr3:uid="{EA13C710-01DA-4309-8D18-851BA349F161}" name="Total Score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A878247A-CAC8-4E95-8F0A-B78F673B16E2}" name="Table15" displayName="Table15" ref="J40:N43" totalsRowShown="0" headerRowDxfId="80" tableBorderDxfId="79">
  <autoFilter ref="J40:N43" xr:uid="{A878247A-CAC8-4E95-8F0A-B78F673B16E2}"/>
  <sortState xmlns:xlrd2="http://schemas.microsoft.com/office/spreadsheetml/2017/richdata2" ref="J41:N43">
    <sortCondition descending="1" ref="N40:N43"/>
  </sortState>
  <tableColumns count="5">
    <tableColumn id="1" xr3:uid="{E8951D34-03B0-43CD-85D2-B9B4A9E4D191}" name="Option"/>
    <tableColumn id="2" xr3:uid="{9455FA35-661A-4842-BCF1-45EDAFAEA974}" name="1st"/>
    <tableColumn id="3" xr3:uid="{A41FC923-C11D-4A91-8C06-5FBEE5F0AEED}" name="2nd"/>
    <tableColumn id="4" xr3:uid="{3E51922D-FC6B-4943-A7FF-FCFCB993B7B3}" name="3rd"/>
    <tableColumn id="5" xr3:uid="{90691909-000E-4EF2-8AE7-411615F1CE85}" name="Total Score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872E14D-3FCF-410E-B627-3B461BD5A37D}" name="Table1" displayName="Table1" ref="A1:BW51" totalsRowShown="0" headerRowDxfId="78" dataDxfId="76" headerRowBorderDxfId="77" tableBorderDxfId="75">
  <autoFilter ref="A1:BW51" xr:uid="{F872E14D-3FCF-410E-B627-3B461BD5A37D}"/>
  <tableColumns count="75">
    <tableColumn id="1" xr3:uid="{255FE2E0-74B3-49CD-B174-6E6F1253B5B3}" name="Timestamp" dataDxfId="74"/>
    <tableColumn id="2" xr3:uid="{A83EDF75-714D-4722-9C65-5893A1A5612F}" name="How old are you?" dataDxfId="73"/>
    <tableColumn id="3" xr3:uid="{121D75A2-6338-4BA3-A571-8904C16CBA74}" name="Do you have any experience in creating/designing art?" dataDxfId="72"/>
    <tableColumn id="4" xr3:uid="{C64EAEAD-09D1-4CA6-8435-E28E049FADB6}" name="A" dataDxfId="71"/>
    <tableColumn id="5" xr3:uid="{DD684B11-ECDC-4CF7-A7ED-BDD6A4A152FB}" name="B" dataDxfId="70"/>
    <tableColumn id="6" xr3:uid="{8D0296D5-FA88-411F-868E-AAC53A8FD3FE}" name="C" dataDxfId="69"/>
    <tableColumn id="7" xr3:uid="{1D35AA49-AC97-4305-BAC6-F5E43E48A2CB}" name="D" dataDxfId="68"/>
    <tableColumn id="8" xr3:uid="{4CCB1AED-1385-4215-8202-E966ADD08239}" name="A 2" dataDxfId="67"/>
    <tableColumn id="9" xr3:uid="{34AABC9B-9014-4D6C-B81F-33B9252C82FB}" name="B 2" dataDxfId="66"/>
    <tableColumn id="10" xr3:uid="{0DE3D4BE-011E-4667-907C-0248498B86E7}" name="C 2" dataDxfId="65"/>
    <tableColumn id="11" xr3:uid="{82F28F74-6E8E-456C-8AD5-C17748F8B1FB}" name="D 2" dataDxfId="64"/>
    <tableColumn id="12" xr3:uid="{5C00125D-F0FB-4009-A2DA-838899B62266}" name="A 3" dataDxfId="63"/>
    <tableColumn id="13" xr3:uid="{A9A9DB70-2644-46BB-B7DA-9834CC5A5D2E}" name="B 3" dataDxfId="62"/>
    <tableColumn id="14" xr3:uid="{BF80CE45-B7E0-4489-8DA3-5C2FCA8D5D1B}" name="C 3" dataDxfId="61"/>
    <tableColumn id="15" xr3:uid="{E70554EA-C1AA-4AE1-A8A1-05916EF6B6EC}" name="D 3" dataDxfId="60"/>
    <tableColumn id="16" xr3:uid="{F09735B4-9FD5-477B-A583-F17A44B9F3B8}" name="A 4" dataDxfId="59"/>
    <tableColumn id="17" xr3:uid="{A8E9B855-5D39-40EF-BA92-DF38F0C6F99C}" name="B 4" dataDxfId="58"/>
    <tableColumn id="18" xr3:uid="{A9CA5A82-A4AA-4240-814C-C31617D6035B}" name="C 4" dataDxfId="57"/>
    <tableColumn id="19" xr3:uid="{ECB369DA-F1C7-4C1E-9127-4D55812DD243}" name="D 4" dataDxfId="56"/>
    <tableColumn id="20" xr3:uid="{6EF48515-12A8-40D7-BE2D-F89D9A46AB7A}" name="A 5" dataDxfId="55"/>
    <tableColumn id="21" xr3:uid="{0C1B1F1E-0771-4126-84D8-A1FD1E5F7A21}" name="B 5" dataDxfId="54"/>
    <tableColumn id="22" xr3:uid="{8F02F199-BE7E-4737-869A-4ABF0BB41F0A}" name="C 5" dataDxfId="53"/>
    <tableColumn id="23" xr3:uid="{B98C40FC-2130-472E-8F2A-2684F64560B7}" name="D 5" dataDxfId="52"/>
    <tableColumn id="24" xr3:uid="{2836C125-DE8A-4449-A2DC-97A1A906972E}" name="A 6" dataDxfId="51"/>
    <tableColumn id="25" xr3:uid="{310619E3-2E75-4824-AC4B-6B42805EAA5E}" name="B 6" dataDxfId="50"/>
    <tableColumn id="26" xr3:uid="{92A32F34-8601-4914-8DB9-03188CE7060C}" name="C 6" dataDxfId="49"/>
    <tableColumn id="27" xr3:uid="{6B42A8D1-A977-4DAE-8585-FB07F9DEFA3D}" name="D 6" dataDxfId="48"/>
    <tableColumn id="28" xr3:uid="{DC1D4694-9448-40EF-B8AD-6C3064DBA871}" name="A 7" dataDxfId="47"/>
    <tableColumn id="29" xr3:uid="{874074F7-8E8C-4A54-B902-9A7C918AD79C}" name="B 7" dataDxfId="46"/>
    <tableColumn id="30" xr3:uid="{508A9AEA-AB96-4A13-966C-CE633055DCB3}" name="C 7" dataDxfId="45"/>
    <tableColumn id="31" xr3:uid="{A5B53462-9F1A-48F5-A9FB-07D006333BF1}" name="D 7" dataDxfId="44"/>
    <tableColumn id="32" xr3:uid="{41F2AB84-529B-4538-AC76-59FF5728AE15}" name="A 8" dataDxfId="43"/>
    <tableColumn id="33" xr3:uid="{0197F594-0879-4252-AA59-C13609FF6A9B}" name="B 8" dataDxfId="42"/>
    <tableColumn id="34" xr3:uid="{9B7F6671-1F6A-4A29-A2EB-9D8FD5368FF4}" name="C 8" dataDxfId="41"/>
    <tableColumn id="35" xr3:uid="{5E486E51-26B1-4EE1-BBE0-11574E2FB40D}" name="D 8" dataDxfId="40"/>
    <tableColumn id="36" xr3:uid="{4604A98F-1012-4714-9E77-1E10765C7B67}" name="A 9" dataDxfId="39"/>
    <tableColumn id="37" xr3:uid="{6D6AA0E1-976B-447A-9D8F-A021A3CA2E11}" name="B 9" dataDxfId="38"/>
    <tableColumn id="38" xr3:uid="{67B781E5-F146-43CC-83E7-FDC14F7BF038}" name="C 9" dataDxfId="37"/>
    <tableColumn id="39" xr3:uid="{29654EC4-55CC-4085-B153-9226A5BCAF08}" name="D 9" dataDxfId="36"/>
    <tableColumn id="40" xr3:uid="{C695CD73-0C46-49DE-B34F-A48FFC69A62E}" name="A 10" dataDxfId="35"/>
    <tableColumn id="41" xr3:uid="{E9FB6AD3-DD5D-4E27-9763-3C831B1E71BB}" name="B 10" dataDxfId="34"/>
    <tableColumn id="42" xr3:uid="{73E0847E-2DBE-44D3-A90F-DB36A1165407}" name="C 10" dataDxfId="33"/>
    <tableColumn id="43" xr3:uid="{A587E200-01EC-4EA2-B0B2-360A81282F44}" name="D 10" dataDxfId="32"/>
    <tableColumn id="44" xr3:uid="{01A39691-82D0-466F-AE5D-78A2DA2ED759}" name="A 11" dataDxfId="31"/>
    <tableColumn id="45" xr3:uid="{99DA79CB-64A3-45B7-8819-75AFE650E448}" name="B 11" dataDxfId="30"/>
    <tableColumn id="46" xr3:uid="{C68735AA-2395-4880-B25F-67080A57EDC6}" name="C 11" dataDxfId="29"/>
    <tableColumn id="47" xr3:uid="{5570C937-54B0-463D-8A52-62447B1021B7}" name="A 12" dataDxfId="28"/>
    <tableColumn id="48" xr3:uid="{801D012B-E4B7-426D-B366-AEA9BF027FEE}" name="B 12" dataDxfId="27"/>
    <tableColumn id="49" xr3:uid="{2EA285D4-A138-491A-BB4B-C70D15158F1E}" name="C 12" dataDxfId="26"/>
    <tableColumn id="50" xr3:uid="{D9143E24-528B-46EC-969C-2874E5D885B8}" name="A 13" dataDxfId="25"/>
    <tableColumn id="51" xr3:uid="{00100D7B-4764-4EDF-85A8-00DA6EBB9378}" name="B 13" dataDxfId="24"/>
    <tableColumn id="52" xr3:uid="{6D9AA96F-FBAE-4AEF-919B-2FF162B7A67D}" name="C 13" dataDxfId="23"/>
    <tableColumn id="53" xr3:uid="{79E1F2A9-9B2D-47F2-8268-DA2C4F25C875}" name="A 14" dataDxfId="22"/>
    <tableColumn id="54" xr3:uid="{3B7373ED-01D9-4E85-9F2C-6730AA5F1037}" name="B 14" dataDxfId="21"/>
    <tableColumn id="55" xr3:uid="{323FD02F-FF9B-4FB6-A68B-C2F044BA8225}" name="C 14" dataDxfId="20"/>
    <tableColumn id="56" xr3:uid="{939D73DF-8BB9-4FA4-98D1-D68F3D342D80}" name="A 15" dataDxfId="19"/>
    <tableColumn id="57" xr3:uid="{803C36AD-8E04-47F9-B949-F0E9A0D2EBE1}" name="B 15" dataDxfId="18"/>
    <tableColumn id="58" xr3:uid="{F2A8C6E4-AC0A-4A0F-ABA7-BF6D5CEA4EE6}" name="C 15" dataDxfId="17"/>
    <tableColumn id="59" xr3:uid="{83033D80-CBD9-4B55-99DD-F6CA426839C4}" name="A 16" dataDxfId="16"/>
    <tableColumn id="60" xr3:uid="{CD4B7260-F69B-427A-A771-DCFB6775D98D}" name="B 16" dataDxfId="15"/>
    <tableColumn id="61" xr3:uid="{26BB6A30-E6DD-40E0-9DD0-08B30EEAF1E1}" name="C 16" dataDxfId="14"/>
    <tableColumn id="62" xr3:uid="{296955BD-4F28-4AA7-AAF9-014479D94E22}" name="A 17" dataDxfId="13"/>
    <tableColumn id="63" xr3:uid="{BEFF18DF-D833-4D18-93A3-CB19E9C8CE17}" name="B 17" dataDxfId="12"/>
    <tableColumn id="64" xr3:uid="{2BC636A7-A389-4897-BC3D-3130FA68B9FA}" name="C 17" dataDxfId="11"/>
    <tableColumn id="65" xr3:uid="{2914682A-FFB4-4A50-A1CE-20145996DAAB}" name="A 18" dataDxfId="10"/>
    <tableColumn id="66" xr3:uid="{F4EC2CE9-496D-42EF-B070-D749D05C4905}" name="B 18" dataDxfId="9"/>
    <tableColumn id="67" xr3:uid="{81DBFDF6-147C-4C07-BF99-09E882058B63}" name="C 18" dataDxfId="8"/>
    <tableColumn id="68" xr3:uid="{F83A70F2-5700-4AB5-B0C2-55B29970EEF7}" name="A 19" dataDxfId="7"/>
    <tableColumn id="69" xr3:uid="{8101C316-4BE9-42FE-B04B-738EFDEC021C}" name="B 19" dataDxfId="6"/>
    <tableColumn id="70" xr3:uid="{DB3972BD-EBC5-4823-88AD-008EABD93621}" name="C 19" dataDxfId="5"/>
    <tableColumn id="71" xr3:uid="{93444E08-907A-41ED-9970-8D2DC4B8BA5E}" name="A 20" dataDxfId="4"/>
    <tableColumn id="72" xr3:uid="{F366A4B9-B735-4346-88C8-A7643C35FC95}" name="B 20" dataDxfId="3"/>
    <tableColumn id="73" xr3:uid="{4ED8DF52-9A0B-4ED2-8F69-676D5A6AD7A8}" name="C 20" dataDxfId="2"/>
    <tableColumn id="74" xr3:uid="{67AC80B6-BD77-47AA-B410-195C67934B43}" name="Email Address" dataDxfId="1"/>
    <tableColumn id="75" xr3:uid="{B66AC208-2B30-44A9-BC25-886D91A17CDB}" name="Column 73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10" Type="http://schemas.openxmlformats.org/officeDocument/2006/relationships/table" Target="../tables/table10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D8FE3F-B00E-49F8-A0C0-64495D5C1D4D}">
  <dimension ref="B2:N48"/>
  <sheetViews>
    <sheetView tabSelected="1" topLeftCell="A34" workbookViewId="0">
      <selection activeCell="P18" sqref="P18"/>
    </sheetView>
  </sheetViews>
  <sheetFormatPr defaultRowHeight="14.4" x14ac:dyDescent="0.3"/>
  <cols>
    <col min="2" max="2" width="40.44140625" customWidth="1"/>
    <col min="7" max="7" width="12.109375" customWidth="1"/>
    <col min="10" max="10" width="14.88671875" bestFit="1" customWidth="1"/>
    <col min="11" max="11" width="21.77734375" customWidth="1"/>
    <col min="14" max="14" width="12.109375" customWidth="1"/>
  </cols>
  <sheetData>
    <row r="2" spans="2:14" x14ac:dyDescent="0.3">
      <c r="B2" t="s">
        <v>181</v>
      </c>
    </row>
    <row r="3" spans="2:14" x14ac:dyDescent="0.3">
      <c r="B3" s="26" t="s">
        <v>174</v>
      </c>
    </row>
    <row r="4" spans="2:14" x14ac:dyDescent="0.3">
      <c r="B4" s="26" t="s">
        <v>175</v>
      </c>
    </row>
    <row r="5" spans="2:14" x14ac:dyDescent="0.3">
      <c r="B5" s="26" t="s">
        <v>176</v>
      </c>
    </row>
    <row r="6" spans="2:14" x14ac:dyDescent="0.3">
      <c r="B6" s="26" t="s">
        <v>177</v>
      </c>
    </row>
    <row r="7" spans="2:14" x14ac:dyDescent="0.3">
      <c r="B7" s="26" t="s">
        <v>178</v>
      </c>
      <c r="K7" s="24" t="s">
        <v>171</v>
      </c>
      <c r="L7" s="24">
        <v>50</v>
      </c>
    </row>
    <row r="8" spans="2:14" x14ac:dyDescent="0.3">
      <c r="B8" s="26" t="s">
        <v>179</v>
      </c>
      <c r="K8" s="24"/>
      <c r="L8" s="24"/>
    </row>
    <row r="9" spans="2:14" x14ac:dyDescent="0.3">
      <c r="B9" s="26" t="s">
        <v>180</v>
      </c>
      <c r="K9" s="24" t="s">
        <v>61</v>
      </c>
      <c r="L9" s="24">
        <f>COUNTIF(Table1[How old are you?],"18 - 24 years old")</f>
        <v>27</v>
      </c>
    </row>
    <row r="10" spans="2:14" x14ac:dyDescent="0.3">
      <c r="K10" s="24" t="s">
        <v>62</v>
      </c>
      <c r="L10" s="24">
        <f>COUNTIF(Table1[How old are you?],"&lt;&gt;18 - 24 years old")</f>
        <v>23</v>
      </c>
    </row>
    <row r="11" spans="2:14" x14ac:dyDescent="0.3">
      <c r="K11" s="24"/>
      <c r="L11" s="24"/>
    </row>
    <row r="12" spans="2:14" x14ac:dyDescent="0.3">
      <c r="K12" s="24" t="s">
        <v>172</v>
      </c>
      <c r="L12" s="24">
        <f>COUNTIF(Table1[Do you have any experience in creating/designing art?], "No experience")</f>
        <v>29</v>
      </c>
    </row>
    <row r="13" spans="2:14" x14ac:dyDescent="0.3">
      <c r="K13" s="24" t="s">
        <v>173</v>
      </c>
      <c r="L13" s="24">
        <f>COUNTIF(Table1[Do you have any experience in creating/designing art?], "&lt;&gt;No experience")</f>
        <v>21</v>
      </c>
    </row>
    <row r="15" spans="2:14" x14ac:dyDescent="0.3">
      <c r="B15" s="25" t="s">
        <v>161</v>
      </c>
      <c r="C15" s="25"/>
      <c r="D15" s="25"/>
      <c r="E15" s="25"/>
      <c r="F15" s="25"/>
      <c r="G15" s="25"/>
      <c r="J15" s="25" t="s">
        <v>162</v>
      </c>
      <c r="K15" s="25"/>
      <c r="L15" s="25"/>
      <c r="M15" s="25"/>
      <c r="N15" s="25"/>
    </row>
    <row r="16" spans="2:14" x14ac:dyDescent="0.3">
      <c r="B16" t="s">
        <v>152</v>
      </c>
      <c r="C16" t="s">
        <v>11</v>
      </c>
      <c r="D16" t="s">
        <v>13</v>
      </c>
      <c r="E16" t="s">
        <v>14</v>
      </c>
      <c r="F16" t="s">
        <v>12</v>
      </c>
      <c r="G16" t="s">
        <v>151</v>
      </c>
      <c r="J16" t="s">
        <v>136</v>
      </c>
      <c r="K16" t="s">
        <v>11</v>
      </c>
      <c r="L16" t="s">
        <v>13</v>
      </c>
      <c r="M16" t="s">
        <v>14</v>
      </c>
      <c r="N16" t="s">
        <v>151</v>
      </c>
    </row>
    <row r="17" spans="2:14" x14ac:dyDescent="0.3">
      <c r="B17" t="s">
        <v>147</v>
      </c>
      <c r="C17" s="27">
        <v>198</v>
      </c>
      <c r="D17">
        <v>116</v>
      </c>
      <c r="E17">
        <v>100</v>
      </c>
      <c r="F17">
        <v>86</v>
      </c>
      <c r="G17">
        <v>1426</v>
      </c>
      <c r="J17" t="s">
        <v>154</v>
      </c>
      <c r="K17">
        <v>179</v>
      </c>
      <c r="L17">
        <v>223</v>
      </c>
      <c r="M17">
        <v>98</v>
      </c>
      <c r="N17" s="27">
        <v>1081</v>
      </c>
    </row>
    <row r="18" spans="2:14" x14ac:dyDescent="0.3">
      <c r="B18" t="s">
        <v>149</v>
      </c>
      <c r="C18">
        <v>145</v>
      </c>
      <c r="D18">
        <v>107</v>
      </c>
      <c r="E18">
        <v>139</v>
      </c>
      <c r="F18">
        <v>109</v>
      </c>
      <c r="G18">
        <v>1288</v>
      </c>
      <c r="J18" t="s">
        <v>155</v>
      </c>
      <c r="K18">
        <v>158</v>
      </c>
      <c r="L18">
        <v>145</v>
      </c>
      <c r="M18">
        <v>197</v>
      </c>
      <c r="N18">
        <v>961</v>
      </c>
    </row>
    <row r="19" spans="2:14" x14ac:dyDescent="0.3">
      <c r="B19" t="s">
        <v>150</v>
      </c>
      <c r="C19">
        <v>81</v>
      </c>
      <c r="D19">
        <v>171</v>
      </c>
      <c r="E19">
        <v>151</v>
      </c>
      <c r="F19">
        <v>97</v>
      </c>
      <c r="G19">
        <v>1236</v>
      </c>
      <c r="J19" t="s">
        <v>153</v>
      </c>
      <c r="K19">
        <v>161</v>
      </c>
      <c r="L19">
        <v>128</v>
      </c>
      <c r="M19">
        <v>211</v>
      </c>
      <c r="N19">
        <v>950</v>
      </c>
    </row>
    <row r="20" spans="2:14" x14ac:dyDescent="0.3">
      <c r="B20" t="s">
        <v>148</v>
      </c>
      <c r="C20">
        <v>60</v>
      </c>
      <c r="D20">
        <v>106</v>
      </c>
      <c r="E20">
        <v>108</v>
      </c>
      <c r="F20" s="27">
        <v>226</v>
      </c>
      <c r="G20">
        <v>1000</v>
      </c>
    </row>
    <row r="21" spans="2:14" x14ac:dyDescent="0.3">
      <c r="J21" s="25" t="s">
        <v>165</v>
      </c>
      <c r="K21" s="25"/>
      <c r="L21" s="25"/>
      <c r="M21" s="25"/>
      <c r="N21" s="25"/>
    </row>
    <row r="22" spans="2:14" x14ac:dyDescent="0.3">
      <c r="B22" s="25" t="s">
        <v>163</v>
      </c>
      <c r="C22" s="25"/>
      <c r="D22" s="25"/>
      <c r="E22" s="25"/>
      <c r="F22" s="25"/>
      <c r="G22" s="25"/>
      <c r="J22" t="s">
        <v>136</v>
      </c>
      <c r="K22" t="s">
        <v>11</v>
      </c>
      <c r="L22" t="s">
        <v>13</v>
      </c>
      <c r="M22" t="s">
        <v>14</v>
      </c>
      <c r="N22" t="s">
        <v>151</v>
      </c>
    </row>
    <row r="23" spans="2:14" x14ac:dyDescent="0.3">
      <c r="B23" t="s">
        <v>152</v>
      </c>
      <c r="C23" t="s">
        <v>11</v>
      </c>
      <c r="D23" t="s">
        <v>13</v>
      </c>
      <c r="E23" t="s">
        <v>14</v>
      </c>
      <c r="F23" t="s">
        <v>12</v>
      </c>
      <c r="G23" t="s">
        <v>151</v>
      </c>
      <c r="J23" t="s">
        <v>154</v>
      </c>
      <c r="K23">
        <v>91</v>
      </c>
      <c r="L23">
        <v>113</v>
      </c>
      <c r="M23">
        <v>66</v>
      </c>
      <c r="N23">
        <v>565</v>
      </c>
    </row>
    <row r="24" spans="2:14" x14ac:dyDescent="0.3">
      <c r="B24" t="s">
        <v>147</v>
      </c>
      <c r="C24" s="27">
        <v>120</v>
      </c>
      <c r="D24">
        <v>59</v>
      </c>
      <c r="E24">
        <v>58</v>
      </c>
      <c r="F24">
        <v>33</v>
      </c>
      <c r="G24">
        <v>806</v>
      </c>
      <c r="J24" t="s">
        <v>155</v>
      </c>
      <c r="K24">
        <v>88</v>
      </c>
      <c r="L24">
        <v>82</v>
      </c>
      <c r="M24">
        <v>100</v>
      </c>
      <c r="N24">
        <v>528</v>
      </c>
    </row>
    <row r="25" spans="2:14" x14ac:dyDescent="0.3">
      <c r="B25" t="s">
        <v>150</v>
      </c>
      <c r="C25">
        <v>43</v>
      </c>
      <c r="D25">
        <v>107</v>
      </c>
      <c r="E25">
        <v>66</v>
      </c>
      <c r="F25">
        <v>54</v>
      </c>
      <c r="G25">
        <v>679</v>
      </c>
      <c r="J25" t="s">
        <v>153</v>
      </c>
      <c r="K25">
        <v>89</v>
      </c>
      <c r="L25">
        <v>74</v>
      </c>
      <c r="M25">
        <v>107</v>
      </c>
      <c r="N25">
        <v>522</v>
      </c>
    </row>
    <row r="26" spans="2:14" x14ac:dyDescent="0.3">
      <c r="B26" t="s">
        <v>149</v>
      </c>
      <c r="C26">
        <v>70</v>
      </c>
      <c r="D26">
        <v>54</v>
      </c>
      <c r="E26">
        <v>86</v>
      </c>
      <c r="F26">
        <v>60</v>
      </c>
      <c r="G26">
        <v>674</v>
      </c>
    </row>
    <row r="27" spans="2:14" x14ac:dyDescent="0.3">
      <c r="B27" t="s">
        <v>148</v>
      </c>
      <c r="C27">
        <v>23</v>
      </c>
      <c r="D27">
        <v>57</v>
      </c>
      <c r="E27">
        <v>63</v>
      </c>
      <c r="F27" s="27">
        <v>127</v>
      </c>
      <c r="G27">
        <v>516</v>
      </c>
      <c r="J27" s="25" t="s">
        <v>166</v>
      </c>
      <c r="K27" s="25"/>
      <c r="L27" s="25"/>
      <c r="M27" s="25"/>
      <c r="N27" s="25"/>
    </row>
    <row r="28" spans="2:14" x14ac:dyDescent="0.3">
      <c r="J28" t="s">
        <v>136</v>
      </c>
      <c r="K28" t="s">
        <v>11</v>
      </c>
      <c r="L28" t="s">
        <v>13</v>
      </c>
      <c r="M28" t="s">
        <v>14</v>
      </c>
      <c r="N28" t="s">
        <v>151</v>
      </c>
    </row>
    <row r="29" spans="2:14" x14ac:dyDescent="0.3">
      <c r="B29" s="25" t="s">
        <v>164</v>
      </c>
      <c r="C29" s="25"/>
      <c r="D29" s="25"/>
      <c r="E29" s="25"/>
      <c r="F29" s="25"/>
      <c r="G29" s="25"/>
      <c r="J29" t="s">
        <v>154</v>
      </c>
      <c r="K29">
        <v>88</v>
      </c>
      <c r="L29">
        <v>110</v>
      </c>
      <c r="M29">
        <v>32</v>
      </c>
      <c r="N29">
        <v>516</v>
      </c>
    </row>
    <row r="30" spans="2:14" x14ac:dyDescent="0.3">
      <c r="B30" t="s">
        <v>152</v>
      </c>
      <c r="C30" t="s">
        <v>11</v>
      </c>
      <c r="D30" t="s">
        <v>13</v>
      </c>
      <c r="E30" t="s">
        <v>14</v>
      </c>
      <c r="F30" t="s">
        <v>12</v>
      </c>
      <c r="G30" t="s">
        <v>151</v>
      </c>
      <c r="J30" t="s">
        <v>155</v>
      </c>
      <c r="K30">
        <v>70</v>
      </c>
      <c r="L30">
        <v>63</v>
      </c>
      <c r="M30">
        <v>97</v>
      </c>
      <c r="N30">
        <v>433</v>
      </c>
    </row>
    <row r="31" spans="2:14" x14ac:dyDescent="0.3">
      <c r="B31" t="s">
        <v>147</v>
      </c>
      <c r="C31">
        <v>78</v>
      </c>
      <c r="D31">
        <v>57</v>
      </c>
      <c r="E31">
        <v>42</v>
      </c>
      <c r="F31">
        <v>53</v>
      </c>
      <c r="G31">
        <v>620</v>
      </c>
      <c r="J31" t="s">
        <v>153</v>
      </c>
      <c r="K31">
        <v>72</v>
      </c>
      <c r="L31">
        <v>54</v>
      </c>
      <c r="M31">
        <v>104</v>
      </c>
      <c r="N31">
        <v>428</v>
      </c>
    </row>
    <row r="32" spans="2:14" x14ac:dyDescent="0.3">
      <c r="B32" t="s">
        <v>149</v>
      </c>
      <c r="C32">
        <v>75</v>
      </c>
      <c r="D32">
        <v>53</v>
      </c>
      <c r="E32">
        <v>53</v>
      </c>
      <c r="F32">
        <v>49</v>
      </c>
      <c r="G32">
        <v>614</v>
      </c>
    </row>
    <row r="33" spans="2:14" x14ac:dyDescent="0.3">
      <c r="B33" t="s">
        <v>150</v>
      </c>
      <c r="C33">
        <v>38</v>
      </c>
      <c r="D33">
        <v>64</v>
      </c>
      <c r="E33">
        <v>85</v>
      </c>
      <c r="F33">
        <v>43</v>
      </c>
      <c r="G33">
        <v>557</v>
      </c>
      <c r="J33" s="25" t="s">
        <v>169</v>
      </c>
      <c r="K33" s="25"/>
      <c r="L33" s="25"/>
      <c r="M33" s="25"/>
      <c r="N33" s="25"/>
    </row>
    <row r="34" spans="2:14" x14ac:dyDescent="0.3">
      <c r="B34" t="s">
        <v>148</v>
      </c>
      <c r="C34">
        <v>37</v>
      </c>
      <c r="D34">
        <v>49</v>
      </c>
      <c r="E34">
        <v>45</v>
      </c>
      <c r="F34">
        <v>99</v>
      </c>
      <c r="G34">
        <v>484</v>
      </c>
      <c r="J34" s="22" t="s">
        <v>136</v>
      </c>
      <c r="K34" s="22" t="s">
        <v>11</v>
      </c>
      <c r="L34" s="22" t="s">
        <v>13</v>
      </c>
      <c r="M34" s="22" t="s">
        <v>14</v>
      </c>
      <c r="N34" s="22" t="s">
        <v>151</v>
      </c>
    </row>
    <row r="35" spans="2:14" x14ac:dyDescent="0.3">
      <c r="J35" t="s">
        <v>154</v>
      </c>
      <c r="K35" s="18">
        <v>107</v>
      </c>
      <c r="L35" s="18">
        <v>131</v>
      </c>
      <c r="M35" s="18">
        <v>52</v>
      </c>
      <c r="N35" s="18">
        <v>635</v>
      </c>
    </row>
    <row r="36" spans="2:14" x14ac:dyDescent="0.3">
      <c r="B36" s="25" t="s">
        <v>167</v>
      </c>
      <c r="C36" s="25"/>
      <c r="D36" s="25"/>
      <c r="E36" s="25"/>
      <c r="F36" s="25"/>
      <c r="G36" s="25"/>
      <c r="J36" t="s">
        <v>155</v>
      </c>
      <c r="K36" s="20">
        <v>94</v>
      </c>
      <c r="L36" s="20">
        <v>86</v>
      </c>
      <c r="M36" s="20">
        <v>110</v>
      </c>
      <c r="N36" s="20">
        <v>564</v>
      </c>
    </row>
    <row r="37" spans="2:14" x14ac:dyDescent="0.3">
      <c r="B37" t="s">
        <v>152</v>
      </c>
      <c r="C37" t="s">
        <v>11</v>
      </c>
      <c r="D37" t="s">
        <v>13</v>
      </c>
      <c r="E37" t="s">
        <v>14</v>
      </c>
      <c r="F37" t="s">
        <v>12</v>
      </c>
      <c r="G37" t="s">
        <v>151</v>
      </c>
      <c r="J37" t="s">
        <v>153</v>
      </c>
      <c r="K37" s="18">
        <v>95</v>
      </c>
      <c r="L37" s="18">
        <v>70</v>
      </c>
      <c r="M37" s="18">
        <v>125</v>
      </c>
      <c r="N37" s="18">
        <v>550</v>
      </c>
    </row>
    <row r="38" spans="2:14" x14ac:dyDescent="0.3">
      <c r="B38" t="s">
        <v>147</v>
      </c>
      <c r="C38">
        <v>116</v>
      </c>
      <c r="D38">
        <v>64</v>
      </c>
      <c r="E38">
        <v>58</v>
      </c>
      <c r="F38">
        <v>52</v>
      </c>
      <c r="G38">
        <v>824</v>
      </c>
    </row>
    <row r="39" spans="2:14" x14ac:dyDescent="0.3">
      <c r="B39" t="s">
        <v>149</v>
      </c>
      <c r="C39">
        <v>88</v>
      </c>
      <c r="D39">
        <v>66</v>
      </c>
      <c r="E39">
        <v>78</v>
      </c>
      <c r="F39">
        <v>58</v>
      </c>
      <c r="G39" s="27">
        <v>764</v>
      </c>
      <c r="J39" s="25" t="s">
        <v>170</v>
      </c>
      <c r="K39" s="25"/>
      <c r="L39" s="25"/>
      <c r="M39" s="25"/>
      <c r="N39" s="25"/>
    </row>
    <row r="40" spans="2:14" x14ac:dyDescent="0.3">
      <c r="B40" t="s">
        <v>150</v>
      </c>
      <c r="C40">
        <v>46</v>
      </c>
      <c r="D40">
        <v>91</v>
      </c>
      <c r="E40">
        <v>93</v>
      </c>
      <c r="F40">
        <v>60</v>
      </c>
      <c r="G40">
        <v>703</v>
      </c>
      <c r="J40" s="22" t="s">
        <v>136</v>
      </c>
      <c r="K40" s="22" t="s">
        <v>11</v>
      </c>
      <c r="L40" s="22" t="s">
        <v>13</v>
      </c>
      <c r="M40" s="23" t="s">
        <v>14</v>
      </c>
      <c r="N40" s="22" t="s">
        <v>151</v>
      </c>
    </row>
    <row r="41" spans="2:14" x14ac:dyDescent="0.3">
      <c r="B41" t="s">
        <v>148</v>
      </c>
      <c r="C41">
        <v>35</v>
      </c>
      <c r="D41">
        <v>65</v>
      </c>
      <c r="E41">
        <v>60</v>
      </c>
      <c r="F41">
        <v>130</v>
      </c>
      <c r="G41">
        <v>585</v>
      </c>
      <c r="J41" t="s">
        <v>154</v>
      </c>
      <c r="K41" s="20">
        <v>72</v>
      </c>
      <c r="L41" s="20">
        <v>92</v>
      </c>
      <c r="M41" s="21">
        <v>46</v>
      </c>
      <c r="N41" s="20">
        <v>446</v>
      </c>
    </row>
    <row r="42" spans="2:14" x14ac:dyDescent="0.3">
      <c r="J42" t="s">
        <v>153</v>
      </c>
      <c r="K42" s="18">
        <v>66</v>
      </c>
      <c r="L42" s="18">
        <v>58</v>
      </c>
      <c r="M42" s="19">
        <v>86</v>
      </c>
      <c r="N42" s="18">
        <v>400</v>
      </c>
    </row>
    <row r="43" spans="2:14" x14ac:dyDescent="0.3">
      <c r="B43" s="25" t="s">
        <v>168</v>
      </c>
      <c r="C43" s="25"/>
      <c r="D43" s="25"/>
      <c r="E43" s="25"/>
      <c r="F43" s="25"/>
      <c r="G43" s="25"/>
      <c r="J43" t="s">
        <v>155</v>
      </c>
      <c r="K43" s="18">
        <v>64</v>
      </c>
      <c r="L43" s="18">
        <v>59</v>
      </c>
      <c r="M43" s="19">
        <v>87</v>
      </c>
      <c r="N43" s="18">
        <v>397</v>
      </c>
    </row>
    <row r="44" spans="2:14" x14ac:dyDescent="0.3">
      <c r="B44" t="s">
        <v>152</v>
      </c>
      <c r="C44" t="s">
        <v>11</v>
      </c>
      <c r="D44" t="s">
        <v>13</v>
      </c>
      <c r="E44" t="s">
        <v>14</v>
      </c>
      <c r="F44" t="s">
        <v>12</v>
      </c>
      <c r="G44" t="s">
        <v>151</v>
      </c>
    </row>
    <row r="45" spans="2:14" x14ac:dyDescent="0.3">
      <c r="B45" t="s">
        <v>147</v>
      </c>
      <c r="C45">
        <v>82</v>
      </c>
      <c r="D45">
        <v>52</v>
      </c>
      <c r="E45">
        <v>42</v>
      </c>
      <c r="F45">
        <v>34</v>
      </c>
      <c r="G45">
        <v>602</v>
      </c>
    </row>
    <row r="46" spans="2:14" x14ac:dyDescent="0.3">
      <c r="B46" t="s">
        <v>150</v>
      </c>
      <c r="C46">
        <v>35</v>
      </c>
      <c r="D46">
        <v>80</v>
      </c>
      <c r="E46">
        <v>58</v>
      </c>
      <c r="F46">
        <v>37</v>
      </c>
      <c r="G46" s="27">
        <v>533</v>
      </c>
    </row>
    <row r="47" spans="2:14" x14ac:dyDescent="0.3">
      <c r="B47" t="s">
        <v>149</v>
      </c>
      <c r="C47">
        <v>57</v>
      </c>
      <c r="D47">
        <v>41</v>
      </c>
      <c r="E47">
        <v>61</v>
      </c>
      <c r="F47">
        <v>51</v>
      </c>
      <c r="G47">
        <v>524</v>
      </c>
    </row>
    <row r="48" spans="2:14" x14ac:dyDescent="0.3">
      <c r="B48" t="s">
        <v>148</v>
      </c>
      <c r="C48">
        <v>25</v>
      </c>
      <c r="D48">
        <v>41</v>
      </c>
      <c r="E48">
        <v>48</v>
      </c>
      <c r="F48">
        <v>96</v>
      </c>
      <c r="G48">
        <v>415</v>
      </c>
    </row>
  </sheetData>
  <mergeCells count="10">
    <mergeCell ref="J33:N33"/>
    <mergeCell ref="B36:G36"/>
    <mergeCell ref="J39:N39"/>
    <mergeCell ref="B43:G43"/>
    <mergeCell ref="B15:G15"/>
    <mergeCell ref="J15:N15"/>
    <mergeCell ref="B22:G22"/>
    <mergeCell ref="J21:N21"/>
    <mergeCell ref="J27:N27"/>
    <mergeCell ref="B29:G29"/>
  </mergeCells>
  <pageMargins left="0.7" right="0.7" top="0.75" bottom="0.75" header="0.3" footer="0.3"/>
  <tableParts count="10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D6D44-CE02-4E87-AE1C-AACA98CFEBFB}">
  <sheetPr codeName="Sheet1"/>
  <dimension ref="A1:BW54"/>
  <sheetViews>
    <sheetView topLeftCell="A8" workbookViewId="0">
      <selection activeCell="D2" sqref="D2"/>
    </sheetView>
  </sheetViews>
  <sheetFormatPr defaultRowHeight="14.4" x14ac:dyDescent="0.3"/>
  <cols>
    <col min="1" max="1" width="20.109375" customWidth="1"/>
  </cols>
  <sheetData>
    <row r="1" spans="1:75" ht="93" thickBot="1" x14ac:dyDescent="0.3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3</v>
      </c>
      <c r="I1" s="4" t="s">
        <v>4</v>
      </c>
      <c r="J1" s="4" t="s">
        <v>5</v>
      </c>
      <c r="K1" s="4" t="s">
        <v>6</v>
      </c>
      <c r="L1" s="4" t="s">
        <v>3</v>
      </c>
      <c r="M1" s="4" t="s">
        <v>4</v>
      </c>
      <c r="N1" s="4" t="s">
        <v>5</v>
      </c>
      <c r="O1" s="4" t="s">
        <v>6</v>
      </c>
      <c r="P1" s="4" t="s">
        <v>3</v>
      </c>
      <c r="Q1" s="4" t="s">
        <v>4</v>
      </c>
      <c r="R1" s="4" t="s">
        <v>5</v>
      </c>
      <c r="S1" s="4" t="s">
        <v>6</v>
      </c>
      <c r="T1" s="4" t="s">
        <v>3</v>
      </c>
      <c r="U1" s="4" t="s">
        <v>4</v>
      </c>
      <c r="V1" s="4" t="s">
        <v>5</v>
      </c>
      <c r="W1" s="4" t="s">
        <v>6</v>
      </c>
      <c r="X1" s="4" t="s">
        <v>3</v>
      </c>
      <c r="Y1" s="4" t="s">
        <v>4</v>
      </c>
      <c r="Z1" s="4" t="s">
        <v>5</v>
      </c>
      <c r="AA1" s="4" t="s">
        <v>6</v>
      </c>
      <c r="AB1" s="4" t="s">
        <v>3</v>
      </c>
      <c r="AC1" s="4" t="s">
        <v>4</v>
      </c>
      <c r="AD1" s="4" t="s">
        <v>5</v>
      </c>
      <c r="AE1" s="4" t="s">
        <v>6</v>
      </c>
      <c r="AF1" s="4" t="s">
        <v>3</v>
      </c>
      <c r="AG1" s="4" t="s">
        <v>4</v>
      </c>
      <c r="AH1" s="4" t="s">
        <v>5</v>
      </c>
      <c r="AI1" s="4" t="s">
        <v>6</v>
      </c>
      <c r="AJ1" s="4" t="s">
        <v>3</v>
      </c>
      <c r="AK1" s="4" t="s">
        <v>4</v>
      </c>
      <c r="AL1" s="4" t="s">
        <v>5</v>
      </c>
      <c r="AM1" s="4" t="s">
        <v>6</v>
      </c>
      <c r="AN1" s="4" t="s">
        <v>3</v>
      </c>
      <c r="AO1" s="4" t="s">
        <v>4</v>
      </c>
      <c r="AP1" s="4" t="s">
        <v>5</v>
      </c>
      <c r="AQ1" s="4" t="s">
        <v>6</v>
      </c>
      <c r="AR1" s="4" t="s">
        <v>3</v>
      </c>
      <c r="AS1" s="4" t="s">
        <v>4</v>
      </c>
      <c r="AT1" s="4" t="s">
        <v>5</v>
      </c>
      <c r="AU1" s="4" t="s">
        <v>3</v>
      </c>
      <c r="AV1" s="4" t="s">
        <v>4</v>
      </c>
      <c r="AW1" s="4" t="s">
        <v>5</v>
      </c>
      <c r="AX1" s="4" t="s">
        <v>3</v>
      </c>
      <c r="AY1" s="4" t="s">
        <v>4</v>
      </c>
      <c r="AZ1" s="4" t="s">
        <v>5</v>
      </c>
      <c r="BA1" s="4" t="s">
        <v>3</v>
      </c>
      <c r="BB1" s="4" t="s">
        <v>4</v>
      </c>
      <c r="BC1" s="4" t="s">
        <v>5</v>
      </c>
      <c r="BD1" s="4" t="s">
        <v>3</v>
      </c>
      <c r="BE1" s="4" t="s">
        <v>4</v>
      </c>
      <c r="BF1" s="4" t="s">
        <v>5</v>
      </c>
      <c r="BG1" s="4" t="s">
        <v>3</v>
      </c>
      <c r="BH1" s="4" t="s">
        <v>4</v>
      </c>
      <c r="BI1" s="4" t="s">
        <v>5</v>
      </c>
      <c r="BJ1" s="4" t="s">
        <v>3</v>
      </c>
      <c r="BK1" s="4" t="s">
        <v>4</v>
      </c>
      <c r="BL1" s="4" t="s">
        <v>5</v>
      </c>
      <c r="BM1" s="4" t="s">
        <v>3</v>
      </c>
      <c r="BN1" s="4" t="s">
        <v>4</v>
      </c>
      <c r="BO1" s="4" t="s">
        <v>5</v>
      </c>
      <c r="BP1" s="4" t="s">
        <v>3</v>
      </c>
      <c r="BQ1" s="4" t="s">
        <v>4</v>
      </c>
      <c r="BR1" s="4" t="s">
        <v>5</v>
      </c>
      <c r="BS1" s="4" t="s">
        <v>3</v>
      </c>
      <c r="BT1" s="4" t="s">
        <v>4</v>
      </c>
      <c r="BU1" s="4" t="s">
        <v>5</v>
      </c>
      <c r="BV1" s="4" t="s">
        <v>7</v>
      </c>
      <c r="BW1" s="5" t="s">
        <v>8</v>
      </c>
    </row>
    <row r="2" spans="1:75" ht="66.599999999999994" thickBot="1" x14ac:dyDescent="0.35">
      <c r="A2" s="6">
        <v>46144.667442129627</v>
      </c>
      <c r="B2" s="7" t="s">
        <v>9</v>
      </c>
      <c r="C2" s="7" t="s">
        <v>16</v>
      </c>
      <c r="D2" s="8"/>
      <c r="E2" s="8"/>
      <c r="F2" s="8"/>
      <c r="G2" s="8"/>
      <c r="H2" s="7" t="s">
        <v>11</v>
      </c>
      <c r="I2" s="7" t="s">
        <v>14</v>
      </c>
      <c r="J2" s="7" t="s">
        <v>12</v>
      </c>
      <c r="K2" s="7" t="s">
        <v>13</v>
      </c>
      <c r="L2" s="7" t="s">
        <v>14</v>
      </c>
      <c r="M2" s="7" t="s">
        <v>13</v>
      </c>
      <c r="N2" s="7" t="s">
        <v>11</v>
      </c>
      <c r="O2" s="7" t="s">
        <v>12</v>
      </c>
      <c r="P2" s="7" t="s">
        <v>11</v>
      </c>
      <c r="Q2" s="7" t="s">
        <v>12</v>
      </c>
      <c r="R2" s="7" t="s">
        <v>13</v>
      </c>
      <c r="S2" s="7" t="s">
        <v>14</v>
      </c>
      <c r="T2" s="7" t="s">
        <v>14</v>
      </c>
      <c r="U2" s="7" t="s">
        <v>14</v>
      </c>
      <c r="V2" s="7" t="s">
        <v>11</v>
      </c>
      <c r="W2" s="7" t="s">
        <v>12</v>
      </c>
      <c r="X2" s="7" t="s">
        <v>13</v>
      </c>
      <c r="Y2" s="7" t="s">
        <v>11</v>
      </c>
      <c r="Z2" s="7" t="s">
        <v>14</v>
      </c>
      <c r="AA2" s="7" t="s">
        <v>12</v>
      </c>
      <c r="AB2" s="7" t="s">
        <v>11</v>
      </c>
      <c r="AC2" s="7" t="s">
        <v>12</v>
      </c>
      <c r="AD2" s="7" t="s">
        <v>13</v>
      </c>
      <c r="AE2" s="7" t="s">
        <v>14</v>
      </c>
      <c r="AF2" s="7" t="s">
        <v>12</v>
      </c>
      <c r="AG2" s="7" t="s">
        <v>14</v>
      </c>
      <c r="AH2" s="7" t="s">
        <v>12</v>
      </c>
      <c r="AI2" s="7" t="s">
        <v>11</v>
      </c>
      <c r="AJ2" s="7" t="s">
        <v>11</v>
      </c>
      <c r="AK2" s="7" t="s">
        <v>14</v>
      </c>
      <c r="AL2" s="7" t="s">
        <v>13</v>
      </c>
      <c r="AM2" s="7" t="s">
        <v>12</v>
      </c>
      <c r="AN2" s="7" t="s">
        <v>12</v>
      </c>
      <c r="AO2" s="7" t="s">
        <v>11</v>
      </c>
      <c r="AP2" s="7" t="s">
        <v>13</v>
      </c>
      <c r="AQ2" s="7" t="s">
        <v>14</v>
      </c>
      <c r="AR2" s="7" t="s">
        <v>13</v>
      </c>
      <c r="AS2" s="7" t="s">
        <v>11</v>
      </c>
      <c r="AT2" s="7" t="s">
        <v>14</v>
      </c>
      <c r="AU2" s="7" t="s">
        <v>14</v>
      </c>
      <c r="AV2" s="7" t="s">
        <v>14</v>
      </c>
      <c r="AW2" s="7" t="s">
        <v>13</v>
      </c>
      <c r="AX2" s="7" t="s">
        <v>11</v>
      </c>
      <c r="AY2" s="7" t="s">
        <v>14</v>
      </c>
      <c r="AZ2" s="7" t="s">
        <v>13</v>
      </c>
      <c r="BA2" s="7" t="s">
        <v>13</v>
      </c>
      <c r="BB2" s="7" t="s">
        <v>11</v>
      </c>
      <c r="BC2" s="7" t="s">
        <v>14</v>
      </c>
      <c r="BD2" s="7" t="s">
        <v>14</v>
      </c>
      <c r="BE2" s="7" t="s">
        <v>14</v>
      </c>
      <c r="BF2" s="7" t="s">
        <v>14</v>
      </c>
      <c r="BG2" s="7" t="s">
        <v>11</v>
      </c>
      <c r="BH2" s="7" t="s">
        <v>13</v>
      </c>
      <c r="BI2" s="7" t="s">
        <v>14</v>
      </c>
      <c r="BJ2" s="7" t="s">
        <v>11</v>
      </c>
      <c r="BK2" s="7" t="s">
        <v>14</v>
      </c>
      <c r="BL2" s="7" t="s">
        <v>13</v>
      </c>
      <c r="BM2" s="7" t="s">
        <v>13</v>
      </c>
      <c r="BN2" s="7" t="s">
        <v>11</v>
      </c>
      <c r="BO2" s="7" t="s">
        <v>14</v>
      </c>
      <c r="BP2" s="7" t="s">
        <v>11</v>
      </c>
      <c r="BQ2" s="7" t="s">
        <v>13</v>
      </c>
      <c r="BR2" s="7" t="s">
        <v>14</v>
      </c>
      <c r="BS2" s="7" t="s">
        <v>11</v>
      </c>
      <c r="BT2" s="7" t="s">
        <v>13</v>
      </c>
      <c r="BU2" s="7" t="s">
        <v>14</v>
      </c>
      <c r="BV2" s="8"/>
      <c r="BW2" s="9"/>
    </row>
    <row r="3" spans="1:75" ht="40.200000000000003" thickBot="1" x14ac:dyDescent="0.35">
      <c r="A3" s="10">
        <v>46144.677453703705</v>
      </c>
      <c r="B3" s="11" t="s">
        <v>9</v>
      </c>
      <c r="C3" s="11" t="s">
        <v>10</v>
      </c>
      <c r="D3" s="11" t="s">
        <v>11</v>
      </c>
      <c r="E3" s="11" t="s">
        <v>12</v>
      </c>
      <c r="F3" s="11" t="s">
        <v>13</v>
      </c>
      <c r="G3" s="11" t="s">
        <v>14</v>
      </c>
      <c r="H3" s="11" t="s">
        <v>13</v>
      </c>
      <c r="I3" s="11" t="s">
        <v>14</v>
      </c>
      <c r="J3" s="11" t="s">
        <v>12</v>
      </c>
      <c r="K3" s="11" t="s">
        <v>11</v>
      </c>
      <c r="L3" s="11" t="s">
        <v>12</v>
      </c>
      <c r="M3" s="11" t="s">
        <v>13</v>
      </c>
      <c r="N3" s="11" t="s">
        <v>14</v>
      </c>
      <c r="O3" s="11" t="s">
        <v>11</v>
      </c>
      <c r="P3" s="11" t="s">
        <v>11</v>
      </c>
      <c r="Q3" s="11" t="s">
        <v>12</v>
      </c>
      <c r="R3" s="11" t="s">
        <v>13</v>
      </c>
      <c r="S3" s="11" t="s">
        <v>14</v>
      </c>
      <c r="T3" s="11" t="s">
        <v>11</v>
      </c>
      <c r="U3" s="11" t="s">
        <v>12</v>
      </c>
      <c r="V3" s="11" t="s">
        <v>13</v>
      </c>
      <c r="W3" s="11" t="s">
        <v>14</v>
      </c>
      <c r="X3" s="11" t="s">
        <v>14</v>
      </c>
      <c r="Y3" s="11" t="s">
        <v>11</v>
      </c>
      <c r="Z3" s="11" t="s">
        <v>12</v>
      </c>
      <c r="AA3" s="11" t="s">
        <v>13</v>
      </c>
      <c r="AB3" s="11" t="s">
        <v>11</v>
      </c>
      <c r="AC3" s="11" t="s">
        <v>12</v>
      </c>
      <c r="AD3" s="11" t="s">
        <v>13</v>
      </c>
      <c r="AE3" s="11" t="s">
        <v>14</v>
      </c>
      <c r="AF3" s="11" t="s">
        <v>14</v>
      </c>
      <c r="AG3" s="11" t="s">
        <v>13</v>
      </c>
      <c r="AH3" s="11" t="s">
        <v>12</v>
      </c>
      <c r="AI3" s="11" t="s">
        <v>11</v>
      </c>
      <c r="AJ3" s="11" t="s">
        <v>11</v>
      </c>
      <c r="AK3" s="11" t="s">
        <v>12</v>
      </c>
      <c r="AL3" s="11" t="s">
        <v>13</v>
      </c>
      <c r="AM3" s="11" t="s">
        <v>14</v>
      </c>
      <c r="AN3" s="11" t="s">
        <v>12</v>
      </c>
      <c r="AO3" s="11" t="s">
        <v>11</v>
      </c>
      <c r="AP3" s="11" t="s">
        <v>13</v>
      </c>
      <c r="AQ3" s="11" t="s">
        <v>14</v>
      </c>
      <c r="AR3" s="11" t="s">
        <v>14</v>
      </c>
      <c r="AS3" s="11" t="s">
        <v>13</v>
      </c>
      <c r="AT3" s="11" t="s">
        <v>11</v>
      </c>
      <c r="AU3" s="11" t="s">
        <v>14</v>
      </c>
      <c r="AV3" s="11" t="s">
        <v>13</v>
      </c>
      <c r="AW3" s="11" t="s">
        <v>11</v>
      </c>
      <c r="AX3" s="11" t="s">
        <v>11</v>
      </c>
      <c r="AY3" s="11" t="s">
        <v>14</v>
      </c>
      <c r="AZ3" s="11" t="s">
        <v>13</v>
      </c>
      <c r="BA3" s="11" t="s">
        <v>11</v>
      </c>
      <c r="BB3" s="11" t="s">
        <v>13</v>
      </c>
      <c r="BC3" s="11" t="s">
        <v>14</v>
      </c>
      <c r="BD3" s="11" t="s">
        <v>14</v>
      </c>
      <c r="BE3" s="11" t="s">
        <v>13</v>
      </c>
      <c r="BF3" s="11" t="s">
        <v>11</v>
      </c>
      <c r="BG3" s="11" t="s">
        <v>11</v>
      </c>
      <c r="BH3" s="11" t="s">
        <v>14</v>
      </c>
      <c r="BI3" s="11" t="s">
        <v>13</v>
      </c>
      <c r="BJ3" s="11" t="s">
        <v>14</v>
      </c>
      <c r="BK3" s="11" t="s">
        <v>11</v>
      </c>
      <c r="BL3" s="11" t="s">
        <v>13</v>
      </c>
      <c r="BM3" s="11" t="s">
        <v>14</v>
      </c>
      <c r="BN3" s="11" t="s">
        <v>11</v>
      </c>
      <c r="BO3" s="11" t="s">
        <v>13</v>
      </c>
      <c r="BP3" s="11" t="s">
        <v>13</v>
      </c>
      <c r="BQ3" s="11" t="s">
        <v>11</v>
      </c>
      <c r="BR3" s="11" t="s">
        <v>14</v>
      </c>
      <c r="BS3" s="11" t="s">
        <v>14</v>
      </c>
      <c r="BT3" s="11" t="s">
        <v>11</v>
      </c>
      <c r="BU3" s="11" t="s">
        <v>13</v>
      </c>
      <c r="BV3" s="12"/>
      <c r="BW3" s="13"/>
    </row>
    <row r="4" spans="1:75" ht="40.200000000000003" thickBot="1" x14ac:dyDescent="0.35">
      <c r="A4" s="6">
        <v>46144.686331018522</v>
      </c>
      <c r="B4" s="7" t="s">
        <v>9</v>
      </c>
      <c r="C4" s="7" t="s">
        <v>10</v>
      </c>
      <c r="D4" s="7" t="s">
        <v>14</v>
      </c>
      <c r="E4" s="7" t="s">
        <v>11</v>
      </c>
      <c r="F4" s="7" t="s">
        <v>12</v>
      </c>
      <c r="G4" s="7" t="s">
        <v>13</v>
      </c>
      <c r="H4" s="7" t="s">
        <v>13</v>
      </c>
      <c r="I4" s="7" t="s">
        <v>14</v>
      </c>
      <c r="J4" s="7" t="s">
        <v>12</v>
      </c>
      <c r="K4" s="7" t="s">
        <v>11</v>
      </c>
      <c r="L4" s="7" t="s">
        <v>12</v>
      </c>
      <c r="M4" s="7" t="s">
        <v>13</v>
      </c>
      <c r="N4" s="7" t="s">
        <v>11</v>
      </c>
      <c r="O4" s="7" t="s">
        <v>14</v>
      </c>
      <c r="P4" s="7" t="s">
        <v>11</v>
      </c>
      <c r="Q4" s="7" t="s">
        <v>13</v>
      </c>
      <c r="R4" s="7" t="s">
        <v>12</v>
      </c>
      <c r="S4" s="7" t="s">
        <v>14</v>
      </c>
      <c r="T4" s="7" t="s">
        <v>11</v>
      </c>
      <c r="U4" s="7" t="s">
        <v>14</v>
      </c>
      <c r="V4" s="7" t="s">
        <v>13</v>
      </c>
      <c r="W4" s="7" t="s">
        <v>12</v>
      </c>
      <c r="X4" s="7" t="s">
        <v>13</v>
      </c>
      <c r="Y4" s="7" t="s">
        <v>14</v>
      </c>
      <c r="Z4" s="7" t="s">
        <v>11</v>
      </c>
      <c r="AA4" s="7" t="s">
        <v>12</v>
      </c>
      <c r="AB4" s="7" t="s">
        <v>14</v>
      </c>
      <c r="AC4" s="7" t="s">
        <v>13</v>
      </c>
      <c r="AD4" s="7" t="s">
        <v>11</v>
      </c>
      <c r="AE4" s="7" t="s">
        <v>12</v>
      </c>
      <c r="AF4" s="7" t="s">
        <v>14</v>
      </c>
      <c r="AG4" s="7" t="s">
        <v>11</v>
      </c>
      <c r="AH4" s="7" t="s">
        <v>13</v>
      </c>
      <c r="AI4" s="7" t="s">
        <v>12</v>
      </c>
      <c r="AJ4" s="7" t="s">
        <v>11</v>
      </c>
      <c r="AK4" s="7" t="s">
        <v>12</v>
      </c>
      <c r="AL4" s="7" t="s">
        <v>13</v>
      </c>
      <c r="AM4" s="7" t="s">
        <v>14</v>
      </c>
      <c r="AN4" s="7" t="s">
        <v>11</v>
      </c>
      <c r="AO4" s="7" t="s">
        <v>12</v>
      </c>
      <c r="AP4" s="7" t="s">
        <v>14</v>
      </c>
      <c r="AQ4" s="7" t="s">
        <v>13</v>
      </c>
      <c r="AR4" s="7" t="s">
        <v>11</v>
      </c>
      <c r="AS4" s="7" t="s">
        <v>14</v>
      </c>
      <c r="AT4" s="7" t="s">
        <v>13</v>
      </c>
      <c r="AU4" s="7" t="s">
        <v>11</v>
      </c>
      <c r="AV4" s="7" t="s">
        <v>13</v>
      </c>
      <c r="AW4" s="7" t="s">
        <v>14</v>
      </c>
      <c r="AX4" s="7" t="s">
        <v>11</v>
      </c>
      <c r="AY4" s="7" t="s">
        <v>14</v>
      </c>
      <c r="AZ4" s="7" t="s">
        <v>13</v>
      </c>
      <c r="BA4" s="7" t="s">
        <v>13</v>
      </c>
      <c r="BB4" s="7" t="s">
        <v>11</v>
      </c>
      <c r="BC4" s="7" t="s">
        <v>14</v>
      </c>
      <c r="BD4" s="7" t="s">
        <v>11</v>
      </c>
      <c r="BE4" s="7" t="s">
        <v>14</v>
      </c>
      <c r="BF4" s="7" t="s">
        <v>13</v>
      </c>
      <c r="BG4" s="7" t="s">
        <v>14</v>
      </c>
      <c r="BH4" s="7" t="s">
        <v>13</v>
      </c>
      <c r="BI4" s="7" t="s">
        <v>11</v>
      </c>
      <c r="BJ4" s="7" t="s">
        <v>14</v>
      </c>
      <c r="BK4" s="7" t="s">
        <v>11</v>
      </c>
      <c r="BL4" s="7" t="s">
        <v>13</v>
      </c>
      <c r="BM4" s="7" t="s">
        <v>14</v>
      </c>
      <c r="BN4" s="7" t="s">
        <v>13</v>
      </c>
      <c r="BO4" s="7" t="s">
        <v>11</v>
      </c>
      <c r="BP4" s="7" t="s">
        <v>14</v>
      </c>
      <c r="BQ4" s="7" t="s">
        <v>11</v>
      </c>
      <c r="BR4" s="7" t="s">
        <v>13</v>
      </c>
      <c r="BS4" s="7" t="s">
        <v>14</v>
      </c>
      <c r="BT4" s="7" t="s">
        <v>11</v>
      </c>
      <c r="BU4" s="7" t="s">
        <v>13</v>
      </c>
      <c r="BV4" s="8"/>
      <c r="BW4" s="9"/>
    </row>
    <row r="5" spans="1:75" ht="40.200000000000003" thickBot="1" x14ac:dyDescent="0.35">
      <c r="A5" s="10">
        <v>46144.687789351854</v>
      </c>
      <c r="B5" s="11" t="s">
        <v>9</v>
      </c>
      <c r="C5" s="11" t="s">
        <v>10</v>
      </c>
      <c r="D5" s="11" t="s">
        <v>11</v>
      </c>
      <c r="E5" s="11" t="s">
        <v>12</v>
      </c>
      <c r="F5" s="11" t="s">
        <v>13</v>
      </c>
      <c r="G5" s="11" t="s">
        <v>14</v>
      </c>
      <c r="H5" s="11" t="s">
        <v>11</v>
      </c>
      <c r="I5" s="11" t="s">
        <v>14</v>
      </c>
      <c r="J5" s="11" t="s">
        <v>12</v>
      </c>
      <c r="K5" s="11" t="s">
        <v>13</v>
      </c>
      <c r="L5" s="11" t="s">
        <v>12</v>
      </c>
      <c r="M5" s="11" t="s">
        <v>13</v>
      </c>
      <c r="N5" s="11" t="s">
        <v>14</v>
      </c>
      <c r="O5" s="11" t="s">
        <v>11</v>
      </c>
      <c r="P5" s="11" t="s">
        <v>11</v>
      </c>
      <c r="Q5" s="11" t="s">
        <v>12</v>
      </c>
      <c r="R5" s="11" t="s">
        <v>13</v>
      </c>
      <c r="S5" s="11" t="s">
        <v>14</v>
      </c>
      <c r="T5" s="11" t="s">
        <v>11</v>
      </c>
      <c r="U5" s="11" t="s">
        <v>12</v>
      </c>
      <c r="V5" s="11" t="s">
        <v>13</v>
      </c>
      <c r="W5" s="11" t="s">
        <v>14</v>
      </c>
      <c r="X5" s="11" t="s">
        <v>14</v>
      </c>
      <c r="Y5" s="11" t="s">
        <v>13</v>
      </c>
      <c r="Z5" s="11" t="s">
        <v>12</v>
      </c>
      <c r="AA5" s="11" t="s">
        <v>11</v>
      </c>
      <c r="AB5" s="11" t="s">
        <v>11</v>
      </c>
      <c r="AC5" s="11" t="s">
        <v>12</v>
      </c>
      <c r="AD5" s="11" t="s">
        <v>13</v>
      </c>
      <c r="AE5" s="11" t="s">
        <v>14</v>
      </c>
      <c r="AF5" s="11" t="s">
        <v>13</v>
      </c>
      <c r="AG5" s="11" t="s">
        <v>14</v>
      </c>
      <c r="AH5" s="11" t="s">
        <v>12</v>
      </c>
      <c r="AI5" s="11" t="s">
        <v>11</v>
      </c>
      <c r="AJ5" s="11" t="s">
        <v>11</v>
      </c>
      <c r="AK5" s="11" t="s">
        <v>12</v>
      </c>
      <c r="AL5" s="11" t="s">
        <v>13</v>
      </c>
      <c r="AM5" s="11" t="s">
        <v>14</v>
      </c>
      <c r="AN5" s="11" t="s">
        <v>12</v>
      </c>
      <c r="AO5" s="11" t="s">
        <v>11</v>
      </c>
      <c r="AP5" s="11" t="s">
        <v>13</v>
      </c>
      <c r="AQ5" s="11" t="s">
        <v>14</v>
      </c>
      <c r="AR5" s="11" t="s">
        <v>14</v>
      </c>
      <c r="AS5" s="11" t="s">
        <v>13</v>
      </c>
      <c r="AT5" s="11" t="s">
        <v>11</v>
      </c>
      <c r="AU5" s="11" t="s">
        <v>14</v>
      </c>
      <c r="AV5" s="11" t="s">
        <v>11</v>
      </c>
      <c r="AW5" s="11" t="s">
        <v>13</v>
      </c>
      <c r="AX5" s="11" t="s">
        <v>13</v>
      </c>
      <c r="AY5" s="11" t="s">
        <v>11</v>
      </c>
      <c r="AZ5" s="11" t="s">
        <v>14</v>
      </c>
      <c r="BA5" s="11" t="s">
        <v>11</v>
      </c>
      <c r="BB5" s="11" t="s">
        <v>13</v>
      </c>
      <c r="BC5" s="11" t="s">
        <v>14</v>
      </c>
      <c r="BD5" s="11" t="s">
        <v>14</v>
      </c>
      <c r="BE5" s="11" t="s">
        <v>11</v>
      </c>
      <c r="BF5" s="11" t="s">
        <v>13</v>
      </c>
      <c r="BG5" s="11" t="s">
        <v>11</v>
      </c>
      <c r="BH5" s="11" t="s">
        <v>14</v>
      </c>
      <c r="BI5" s="11" t="s">
        <v>13</v>
      </c>
      <c r="BJ5" s="11" t="s">
        <v>14</v>
      </c>
      <c r="BK5" s="11" t="s">
        <v>11</v>
      </c>
      <c r="BL5" s="11" t="s">
        <v>13</v>
      </c>
      <c r="BM5" s="11" t="s">
        <v>13</v>
      </c>
      <c r="BN5" s="11" t="s">
        <v>11</v>
      </c>
      <c r="BO5" s="11" t="s">
        <v>14</v>
      </c>
      <c r="BP5" s="11" t="s">
        <v>11</v>
      </c>
      <c r="BQ5" s="11" t="s">
        <v>13</v>
      </c>
      <c r="BR5" s="11" t="s">
        <v>14</v>
      </c>
      <c r="BS5" s="11" t="s">
        <v>11</v>
      </c>
      <c r="BT5" s="11" t="s">
        <v>13</v>
      </c>
      <c r="BU5" s="11" t="s">
        <v>14</v>
      </c>
      <c r="BV5" s="12"/>
      <c r="BW5" s="13"/>
    </row>
    <row r="6" spans="1:75" ht="79.8" thickBot="1" x14ac:dyDescent="0.35">
      <c r="A6" s="6">
        <v>46144.709456018521</v>
      </c>
      <c r="B6" s="7" t="s">
        <v>9</v>
      </c>
      <c r="C6" s="7" t="s">
        <v>15</v>
      </c>
      <c r="D6" s="7" t="s">
        <v>13</v>
      </c>
      <c r="E6" s="7" t="s">
        <v>12</v>
      </c>
      <c r="F6" s="7" t="s">
        <v>11</v>
      </c>
      <c r="G6" s="7" t="s">
        <v>14</v>
      </c>
      <c r="H6" s="7" t="s">
        <v>13</v>
      </c>
      <c r="I6" s="7" t="s">
        <v>14</v>
      </c>
      <c r="J6" s="7" t="s">
        <v>12</v>
      </c>
      <c r="K6" s="7" t="s">
        <v>11</v>
      </c>
      <c r="L6" s="7" t="s">
        <v>12</v>
      </c>
      <c r="M6" s="7" t="s">
        <v>14</v>
      </c>
      <c r="N6" s="7" t="s">
        <v>11</v>
      </c>
      <c r="O6" s="7" t="s">
        <v>13</v>
      </c>
      <c r="P6" s="7" t="s">
        <v>11</v>
      </c>
      <c r="Q6" s="7" t="s">
        <v>12</v>
      </c>
      <c r="R6" s="7" t="s">
        <v>13</v>
      </c>
      <c r="S6" s="7" t="s">
        <v>14</v>
      </c>
      <c r="T6" s="7" t="s">
        <v>11</v>
      </c>
      <c r="U6" s="7" t="s">
        <v>12</v>
      </c>
      <c r="V6" s="7" t="s">
        <v>13</v>
      </c>
      <c r="W6" s="7" t="s">
        <v>14</v>
      </c>
      <c r="X6" s="7" t="s">
        <v>14</v>
      </c>
      <c r="Y6" s="7" t="s">
        <v>13</v>
      </c>
      <c r="Z6" s="7" t="s">
        <v>12</v>
      </c>
      <c r="AA6" s="7" t="s">
        <v>11</v>
      </c>
      <c r="AB6" s="7" t="s">
        <v>11</v>
      </c>
      <c r="AC6" s="7" t="s">
        <v>12</v>
      </c>
      <c r="AD6" s="7" t="s">
        <v>13</v>
      </c>
      <c r="AE6" s="7" t="s">
        <v>14</v>
      </c>
      <c r="AF6" s="7" t="s">
        <v>14</v>
      </c>
      <c r="AG6" s="7" t="s">
        <v>13</v>
      </c>
      <c r="AH6" s="7" t="s">
        <v>12</v>
      </c>
      <c r="AI6" s="7" t="s">
        <v>11</v>
      </c>
      <c r="AJ6" s="7" t="s">
        <v>11</v>
      </c>
      <c r="AK6" s="7" t="s">
        <v>12</v>
      </c>
      <c r="AL6" s="7" t="s">
        <v>13</v>
      </c>
      <c r="AM6" s="7" t="s">
        <v>14</v>
      </c>
      <c r="AN6" s="7" t="s">
        <v>12</v>
      </c>
      <c r="AO6" s="7" t="s">
        <v>13</v>
      </c>
      <c r="AP6" s="7" t="s">
        <v>14</v>
      </c>
      <c r="AQ6" s="7" t="s">
        <v>11</v>
      </c>
      <c r="AR6" s="7" t="s">
        <v>14</v>
      </c>
      <c r="AS6" s="7" t="s">
        <v>13</v>
      </c>
      <c r="AT6" s="7" t="s">
        <v>11</v>
      </c>
      <c r="AU6" s="7" t="s">
        <v>14</v>
      </c>
      <c r="AV6" s="7" t="s">
        <v>13</v>
      </c>
      <c r="AW6" s="7" t="s">
        <v>11</v>
      </c>
      <c r="AX6" s="7" t="s">
        <v>11</v>
      </c>
      <c r="AY6" s="7" t="s">
        <v>14</v>
      </c>
      <c r="AZ6" s="7" t="s">
        <v>13</v>
      </c>
      <c r="BA6" s="7" t="s">
        <v>11</v>
      </c>
      <c r="BB6" s="7" t="s">
        <v>13</v>
      </c>
      <c r="BC6" s="7" t="s">
        <v>14</v>
      </c>
      <c r="BD6" s="7" t="s">
        <v>14</v>
      </c>
      <c r="BE6" s="7" t="s">
        <v>11</v>
      </c>
      <c r="BF6" s="7" t="s">
        <v>13</v>
      </c>
      <c r="BG6" s="7" t="s">
        <v>11</v>
      </c>
      <c r="BH6" s="7" t="s">
        <v>14</v>
      </c>
      <c r="BI6" s="7" t="s">
        <v>13</v>
      </c>
      <c r="BJ6" s="7" t="s">
        <v>14</v>
      </c>
      <c r="BK6" s="7" t="s">
        <v>11</v>
      </c>
      <c r="BL6" s="7" t="s">
        <v>13</v>
      </c>
      <c r="BM6" s="7" t="s">
        <v>14</v>
      </c>
      <c r="BN6" s="7" t="s">
        <v>11</v>
      </c>
      <c r="BO6" s="7" t="s">
        <v>13</v>
      </c>
      <c r="BP6" s="7" t="s">
        <v>11</v>
      </c>
      <c r="BQ6" s="7" t="s">
        <v>13</v>
      </c>
      <c r="BR6" s="7" t="s">
        <v>14</v>
      </c>
      <c r="BS6" s="7" t="s">
        <v>11</v>
      </c>
      <c r="BT6" s="7" t="s">
        <v>13</v>
      </c>
      <c r="BU6" s="7" t="s">
        <v>14</v>
      </c>
      <c r="BV6" s="8"/>
      <c r="BW6" s="9"/>
    </row>
    <row r="7" spans="1:75" ht="40.200000000000003" thickBot="1" x14ac:dyDescent="0.35">
      <c r="A7" s="10">
        <v>46144.717731481483</v>
      </c>
      <c r="B7" s="11" t="s">
        <v>9</v>
      </c>
      <c r="C7" s="11" t="s">
        <v>10</v>
      </c>
      <c r="D7" s="11" t="s">
        <v>13</v>
      </c>
      <c r="E7" s="11" t="s">
        <v>12</v>
      </c>
      <c r="F7" s="11" t="s">
        <v>14</v>
      </c>
      <c r="G7" s="11" t="s">
        <v>11</v>
      </c>
      <c r="H7" s="11" t="s">
        <v>11</v>
      </c>
      <c r="I7" s="11" t="s">
        <v>14</v>
      </c>
      <c r="J7" s="11" t="s">
        <v>12</v>
      </c>
      <c r="K7" s="11" t="s">
        <v>13</v>
      </c>
      <c r="L7" s="11" t="s">
        <v>13</v>
      </c>
      <c r="M7" s="11" t="s">
        <v>11</v>
      </c>
      <c r="N7" s="11" t="s">
        <v>14</v>
      </c>
      <c r="O7" s="11" t="s">
        <v>12</v>
      </c>
      <c r="P7" s="11" t="s">
        <v>11</v>
      </c>
      <c r="Q7" s="11" t="s">
        <v>12</v>
      </c>
      <c r="R7" s="11" t="s">
        <v>13</v>
      </c>
      <c r="S7" s="11" t="s">
        <v>14</v>
      </c>
      <c r="T7" s="11" t="s">
        <v>11</v>
      </c>
      <c r="U7" s="11" t="s">
        <v>12</v>
      </c>
      <c r="V7" s="11" t="s">
        <v>13</v>
      </c>
      <c r="W7" s="11" t="s">
        <v>14</v>
      </c>
      <c r="X7" s="11" t="s">
        <v>11</v>
      </c>
      <c r="Y7" s="11" t="s">
        <v>13</v>
      </c>
      <c r="Z7" s="11" t="s">
        <v>12</v>
      </c>
      <c r="AA7" s="11" t="s">
        <v>14</v>
      </c>
      <c r="AB7" s="11" t="s">
        <v>11</v>
      </c>
      <c r="AC7" s="11" t="s">
        <v>12</v>
      </c>
      <c r="AD7" s="11" t="s">
        <v>13</v>
      </c>
      <c r="AE7" s="11" t="s">
        <v>14</v>
      </c>
      <c r="AF7" s="11" t="s">
        <v>13</v>
      </c>
      <c r="AG7" s="11" t="s">
        <v>14</v>
      </c>
      <c r="AH7" s="11" t="s">
        <v>12</v>
      </c>
      <c r="AI7" s="11" t="s">
        <v>11</v>
      </c>
      <c r="AJ7" s="11" t="s">
        <v>11</v>
      </c>
      <c r="AK7" s="11" t="s">
        <v>13</v>
      </c>
      <c r="AL7" s="11" t="s">
        <v>12</v>
      </c>
      <c r="AM7" s="11" t="s">
        <v>14</v>
      </c>
      <c r="AN7" s="11" t="s">
        <v>12</v>
      </c>
      <c r="AO7" s="11" t="s">
        <v>11</v>
      </c>
      <c r="AP7" s="11" t="s">
        <v>13</v>
      </c>
      <c r="AQ7" s="11" t="s">
        <v>14</v>
      </c>
      <c r="AR7" s="11" t="s">
        <v>14</v>
      </c>
      <c r="AS7" s="11" t="s">
        <v>11</v>
      </c>
      <c r="AT7" s="11" t="s">
        <v>13</v>
      </c>
      <c r="AU7" s="11" t="s">
        <v>13</v>
      </c>
      <c r="AV7" s="11" t="s">
        <v>14</v>
      </c>
      <c r="AW7" s="11" t="s">
        <v>11</v>
      </c>
      <c r="AX7" s="11" t="s">
        <v>13</v>
      </c>
      <c r="AY7" s="11" t="s">
        <v>14</v>
      </c>
      <c r="AZ7" s="11" t="s">
        <v>11</v>
      </c>
      <c r="BA7" s="11" t="s">
        <v>11</v>
      </c>
      <c r="BB7" s="11" t="s">
        <v>13</v>
      </c>
      <c r="BC7" s="11" t="s">
        <v>14</v>
      </c>
      <c r="BD7" s="11" t="s">
        <v>14</v>
      </c>
      <c r="BE7" s="11" t="s">
        <v>13</v>
      </c>
      <c r="BF7" s="11" t="s">
        <v>11</v>
      </c>
      <c r="BG7" s="11" t="s">
        <v>11</v>
      </c>
      <c r="BH7" s="11" t="s">
        <v>13</v>
      </c>
      <c r="BI7" s="11" t="s">
        <v>14</v>
      </c>
      <c r="BJ7" s="11" t="s">
        <v>13</v>
      </c>
      <c r="BK7" s="11" t="s">
        <v>11</v>
      </c>
      <c r="BL7" s="11" t="s">
        <v>14</v>
      </c>
      <c r="BM7" s="11" t="s">
        <v>14</v>
      </c>
      <c r="BN7" s="11" t="s">
        <v>11</v>
      </c>
      <c r="BO7" s="11" t="s">
        <v>13</v>
      </c>
      <c r="BP7" s="11" t="s">
        <v>13</v>
      </c>
      <c r="BQ7" s="11" t="s">
        <v>11</v>
      </c>
      <c r="BR7" s="11" t="s">
        <v>14</v>
      </c>
      <c r="BS7" s="11" t="s">
        <v>13</v>
      </c>
      <c r="BT7" s="11" t="s">
        <v>11</v>
      </c>
      <c r="BU7" s="11" t="s">
        <v>14</v>
      </c>
      <c r="BV7" s="12"/>
      <c r="BW7" s="13"/>
    </row>
    <row r="8" spans="1:75" ht="66.599999999999994" thickBot="1" x14ac:dyDescent="0.35">
      <c r="A8" s="6">
        <v>46144.722384259258</v>
      </c>
      <c r="B8" s="7" t="s">
        <v>9</v>
      </c>
      <c r="C8" s="7" t="s">
        <v>16</v>
      </c>
      <c r="D8" s="7" t="s">
        <v>14</v>
      </c>
      <c r="E8" s="7" t="s">
        <v>12</v>
      </c>
      <c r="F8" s="7" t="s">
        <v>13</v>
      </c>
      <c r="G8" s="7" t="s">
        <v>11</v>
      </c>
      <c r="H8" s="7" t="s">
        <v>13</v>
      </c>
      <c r="I8" s="7" t="s">
        <v>12</v>
      </c>
      <c r="J8" s="7" t="s">
        <v>14</v>
      </c>
      <c r="K8" s="7" t="s">
        <v>11</v>
      </c>
      <c r="L8" s="7" t="s">
        <v>13</v>
      </c>
      <c r="M8" s="7" t="s">
        <v>12</v>
      </c>
      <c r="N8" s="7" t="s">
        <v>11</v>
      </c>
      <c r="O8" s="7" t="s">
        <v>14</v>
      </c>
      <c r="P8" s="7" t="s">
        <v>11</v>
      </c>
      <c r="Q8" s="7" t="s">
        <v>12</v>
      </c>
      <c r="R8" s="7" t="s">
        <v>13</v>
      </c>
      <c r="S8" s="7" t="s">
        <v>14</v>
      </c>
      <c r="T8" s="7" t="s">
        <v>11</v>
      </c>
      <c r="U8" s="7" t="s">
        <v>12</v>
      </c>
      <c r="V8" s="7" t="s">
        <v>13</v>
      </c>
      <c r="W8" s="7" t="s">
        <v>14</v>
      </c>
      <c r="X8" s="7" t="s">
        <v>11</v>
      </c>
      <c r="Y8" s="7" t="s">
        <v>13</v>
      </c>
      <c r="Z8" s="7" t="s">
        <v>12</v>
      </c>
      <c r="AA8" s="7" t="s">
        <v>14</v>
      </c>
      <c r="AB8" s="7" t="s">
        <v>11</v>
      </c>
      <c r="AC8" s="7" t="s">
        <v>14</v>
      </c>
      <c r="AD8" s="7" t="s">
        <v>13</v>
      </c>
      <c r="AE8" s="7" t="s">
        <v>12</v>
      </c>
      <c r="AF8" s="7" t="s">
        <v>12</v>
      </c>
      <c r="AG8" s="7" t="s">
        <v>13</v>
      </c>
      <c r="AH8" s="7" t="s">
        <v>14</v>
      </c>
      <c r="AI8" s="7" t="s">
        <v>11</v>
      </c>
      <c r="AJ8" s="7" t="s">
        <v>12</v>
      </c>
      <c r="AK8" s="7" t="s">
        <v>13</v>
      </c>
      <c r="AL8" s="7" t="s">
        <v>11</v>
      </c>
      <c r="AM8" s="7" t="s">
        <v>14</v>
      </c>
      <c r="AN8" s="7" t="s">
        <v>14</v>
      </c>
      <c r="AO8" s="7" t="s">
        <v>13</v>
      </c>
      <c r="AP8" s="7" t="s">
        <v>11</v>
      </c>
      <c r="AQ8" s="7" t="s">
        <v>12</v>
      </c>
      <c r="AR8" s="7" t="s">
        <v>14</v>
      </c>
      <c r="AS8" s="7" t="s">
        <v>13</v>
      </c>
      <c r="AT8" s="7" t="s">
        <v>11</v>
      </c>
      <c r="AU8" s="7" t="s">
        <v>14</v>
      </c>
      <c r="AV8" s="7" t="s">
        <v>13</v>
      </c>
      <c r="AW8" s="7" t="s">
        <v>11</v>
      </c>
      <c r="AX8" s="7" t="s">
        <v>13</v>
      </c>
      <c r="AY8" s="7" t="s">
        <v>14</v>
      </c>
      <c r="AZ8" s="7" t="s">
        <v>11</v>
      </c>
      <c r="BA8" s="7" t="s">
        <v>13</v>
      </c>
      <c r="BB8" s="7" t="s">
        <v>11</v>
      </c>
      <c r="BC8" s="7" t="s">
        <v>14</v>
      </c>
      <c r="BD8" s="7" t="s">
        <v>14</v>
      </c>
      <c r="BE8" s="7" t="s">
        <v>13</v>
      </c>
      <c r="BF8" s="7" t="s">
        <v>11</v>
      </c>
      <c r="BG8" s="7" t="s">
        <v>11</v>
      </c>
      <c r="BH8" s="7" t="s">
        <v>14</v>
      </c>
      <c r="BI8" s="7" t="s">
        <v>13</v>
      </c>
      <c r="BJ8" s="7" t="s">
        <v>13</v>
      </c>
      <c r="BK8" s="7" t="s">
        <v>14</v>
      </c>
      <c r="BL8" s="7" t="s">
        <v>11</v>
      </c>
      <c r="BM8" s="7" t="s">
        <v>14</v>
      </c>
      <c r="BN8" s="7" t="s">
        <v>13</v>
      </c>
      <c r="BO8" s="7" t="s">
        <v>11</v>
      </c>
      <c r="BP8" s="7" t="s">
        <v>11</v>
      </c>
      <c r="BQ8" s="7" t="s">
        <v>13</v>
      </c>
      <c r="BR8" s="7" t="s">
        <v>14</v>
      </c>
      <c r="BS8" s="7" t="s">
        <v>11</v>
      </c>
      <c r="BT8" s="7" t="s">
        <v>13</v>
      </c>
      <c r="BU8" s="7" t="s">
        <v>14</v>
      </c>
      <c r="BV8" s="8"/>
      <c r="BW8" s="9"/>
    </row>
    <row r="9" spans="1:75" ht="66.599999999999994" thickBot="1" x14ac:dyDescent="0.35">
      <c r="A9" s="10">
        <v>46144.745497685188</v>
      </c>
      <c r="B9" s="11" t="s">
        <v>9</v>
      </c>
      <c r="C9" s="11" t="s">
        <v>16</v>
      </c>
      <c r="D9" s="11" t="s">
        <v>12</v>
      </c>
      <c r="E9" s="11" t="s">
        <v>11</v>
      </c>
      <c r="F9" s="11" t="s">
        <v>12</v>
      </c>
      <c r="G9" s="11" t="s">
        <v>13</v>
      </c>
      <c r="H9" s="11" t="s">
        <v>12</v>
      </c>
      <c r="I9" s="11" t="s">
        <v>12</v>
      </c>
      <c r="J9" s="11" t="s">
        <v>14</v>
      </c>
      <c r="K9" s="11" t="s">
        <v>14</v>
      </c>
      <c r="L9" s="11" t="s">
        <v>12</v>
      </c>
      <c r="M9" s="11" t="s">
        <v>11</v>
      </c>
      <c r="N9" s="11" t="s">
        <v>12</v>
      </c>
      <c r="O9" s="11" t="s">
        <v>11</v>
      </c>
      <c r="P9" s="11" t="s">
        <v>13</v>
      </c>
      <c r="Q9" s="11" t="s">
        <v>12</v>
      </c>
      <c r="R9" s="11" t="s">
        <v>12</v>
      </c>
      <c r="S9" s="11" t="s">
        <v>12</v>
      </c>
      <c r="T9" s="11" t="s">
        <v>13</v>
      </c>
      <c r="U9" s="11" t="s">
        <v>13</v>
      </c>
      <c r="V9" s="11" t="s">
        <v>12</v>
      </c>
      <c r="W9" s="11" t="s">
        <v>14</v>
      </c>
      <c r="X9" s="11" t="s">
        <v>13</v>
      </c>
      <c r="Y9" s="11" t="s">
        <v>14</v>
      </c>
      <c r="Z9" s="11" t="s">
        <v>14</v>
      </c>
      <c r="AA9" s="11" t="s">
        <v>14</v>
      </c>
      <c r="AB9" s="11" t="s">
        <v>12</v>
      </c>
      <c r="AC9" s="11" t="s">
        <v>12</v>
      </c>
      <c r="AD9" s="11" t="s">
        <v>12</v>
      </c>
      <c r="AE9" s="11" t="s">
        <v>12</v>
      </c>
      <c r="AF9" s="11" t="s">
        <v>14</v>
      </c>
      <c r="AG9" s="11" t="s">
        <v>14</v>
      </c>
      <c r="AH9" s="11" t="s">
        <v>12</v>
      </c>
      <c r="AI9" s="11" t="s">
        <v>13</v>
      </c>
      <c r="AJ9" s="11" t="s">
        <v>11</v>
      </c>
      <c r="AK9" s="11" t="s">
        <v>14</v>
      </c>
      <c r="AL9" s="11" t="s">
        <v>13</v>
      </c>
      <c r="AM9" s="11" t="s">
        <v>14</v>
      </c>
      <c r="AN9" s="11" t="s">
        <v>14</v>
      </c>
      <c r="AO9" s="11" t="s">
        <v>11</v>
      </c>
      <c r="AP9" s="11" t="s">
        <v>11</v>
      </c>
      <c r="AQ9" s="11" t="s">
        <v>13</v>
      </c>
      <c r="AR9" s="11" t="s">
        <v>11</v>
      </c>
      <c r="AS9" s="11" t="s">
        <v>14</v>
      </c>
      <c r="AT9" s="11" t="s">
        <v>14</v>
      </c>
      <c r="AU9" s="11" t="s">
        <v>13</v>
      </c>
      <c r="AV9" s="11" t="s">
        <v>14</v>
      </c>
      <c r="AW9" s="11" t="s">
        <v>14</v>
      </c>
      <c r="AX9" s="11" t="s">
        <v>13</v>
      </c>
      <c r="AY9" s="11" t="s">
        <v>13</v>
      </c>
      <c r="AZ9" s="11" t="s">
        <v>13</v>
      </c>
      <c r="BA9" s="11" t="s">
        <v>11</v>
      </c>
      <c r="BB9" s="11" t="s">
        <v>13</v>
      </c>
      <c r="BC9" s="11" t="s">
        <v>11</v>
      </c>
      <c r="BD9" s="11" t="s">
        <v>13</v>
      </c>
      <c r="BE9" s="11" t="s">
        <v>14</v>
      </c>
      <c r="BF9" s="11" t="s">
        <v>14</v>
      </c>
      <c r="BG9" s="11" t="s">
        <v>13</v>
      </c>
      <c r="BH9" s="11" t="s">
        <v>14</v>
      </c>
      <c r="BI9" s="11" t="s">
        <v>14</v>
      </c>
      <c r="BJ9" s="11" t="s">
        <v>14</v>
      </c>
      <c r="BK9" s="11" t="s">
        <v>11</v>
      </c>
      <c r="BL9" s="11" t="s">
        <v>11</v>
      </c>
      <c r="BM9" s="11" t="s">
        <v>14</v>
      </c>
      <c r="BN9" s="11" t="s">
        <v>13</v>
      </c>
      <c r="BO9" s="11" t="s">
        <v>14</v>
      </c>
      <c r="BP9" s="11" t="s">
        <v>13</v>
      </c>
      <c r="BQ9" s="11" t="s">
        <v>14</v>
      </c>
      <c r="BR9" s="11" t="s">
        <v>14</v>
      </c>
      <c r="BS9" s="11" t="s">
        <v>11</v>
      </c>
      <c r="BT9" s="11" t="s">
        <v>11</v>
      </c>
      <c r="BU9" s="11" t="s">
        <v>14</v>
      </c>
      <c r="BV9" s="12"/>
      <c r="BW9" s="13"/>
    </row>
    <row r="10" spans="1:75" ht="40.200000000000003" thickBot="1" x14ac:dyDescent="0.35">
      <c r="A10" s="6">
        <v>46144.848645833335</v>
      </c>
      <c r="B10" s="7" t="s">
        <v>9</v>
      </c>
      <c r="C10" s="7" t="s">
        <v>10</v>
      </c>
      <c r="D10" s="7" t="s">
        <v>12</v>
      </c>
      <c r="E10" s="7" t="s">
        <v>14</v>
      </c>
      <c r="F10" s="7" t="s">
        <v>11</v>
      </c>
      <c r="G10" s="7" t="s">
        <v>13</v>
      </c>
      <c r="H10" s="7" t="s">
        <v>11</v>
      </c>
      <c r="I10" s="7" t="s">
        <v>12</v>
      </c>
      <c r="J10" s="7" t="s">
        <v>13</v>
      </c>
      <c r="K10" s="7" t="s">
        <v>14</v>
      </c>
      <c r="L10" s="7" t="s">
        <v>12</v>
      </c>
      <c r="M10" s="7" t="s">
        <v>14</v>
      </c>
      <c r="N10" s="7" t="s">
        <v>13</v>
      </c>
      <c r="O10" s="7" t="s">
        <v>11</v>
      </c>
      <c r="P10" s="7" t="s">
        <v>11</v>
      </c>
      <c r="Q10" s="7" t="s">
        <v>14</v>
      </c>
      <c r="R10" s="7" t="s">
        <v>12</v>
      </c>
      <c r="S10" s="7" t="s">
        <v>13</v>
      </c>
      <c r="T10" s="7" t="s">
        <v>11</v>
      </c>
      <c r="U10" s="7" t="s">
        <v>14</v>
      </c>
      <c r="V10" s="7" t="s">
        <v>12</v>
      </c>
      <c r="W10" s="7" t="s">
        <v>13</v>
      </c>
      <c r="X10" s="7" t="s">
        <v>12</v>
      </c>
      <c r="Y10" s="7" t="s">
        <v>13</v>
      </c>
      <c r="Z10" s="7" t="s">
        <v>14</v>
      </c>
      <c r="AA10" s="7" t="s">
        <v>11</v>
      </c>
      <c r="AB10" s="7" t="s">
        <v>11</v>
      </c>
      <c r="AC10" s="7" t="s">
        <v>14</v>
      </c>
      <c r="AD10" s="7" t="s">
        <v>13</v>
      </c>
      <c r="AE10" s="7" t="s">
        <v>12</v>
      </c>
      <c r="AF10" s="7" t="s">
        <v>12</v>
      </c>
      <c r="AG10" s="7" t="s">
        <v>13</v>
      </c>
      <c r="AH10" s="7" t="s">
        <v>14</v>
      </c>
      <c r="AI10" s="7" t="s">
        <v>11</v>
      </c>
      <c r="AJ10" s="7" t="s">
        <v>11</v>
      </c>
      <c r="AK10" s="7" t="s">
        <v>12</v>
      </c>
      <c r="AL10" s="7" t="s">
        <v>14</v>
      </c>
      <c r="AM10" s="7" t="s">
        <v>13</v>
      </c>
      <c r="AN10" s="7" t="s">
        <v>11</v>
      </c>
      <c r="AO10" s="7" t="s">
        <v>12</v>
      </c>
      <c r="AP10" s="7" t="s">
        <v>14</v>
      </c>
      <c r="AQ10" s="7" t="s">
        <v>13</v>
      </c>
      <c r="AR10" s="7" t="s">
        <v>13</v>
      </c>
      <c r="AS10" s="7" t="s">
        <v>14</v>
      </c>
      <c r="AT10" s="7" t="s">
        <v>11</v>
      </c>
      <c r="AU10" s="7" t="s">
        <v>14</v>
      </c>
      <c r="AV10" s="7" t="s">
        <v>13</v>
      </c>
      <c r="AW10" s="7" t="s">
        <v>11</v>
      </c>
      <c r="AX10" s="7" t="s">
        <v>13</v>
      </c>
      <c r="AY10" s="7" t="s">
        <v>14</v>
      </c>
      <c r="AZ10" s="7" t="s">
        <v>11</v>
      </c>
      <c r="BA10" s="7" t="s">
        <v>13</v>
      </c>
      <c r="BB10" s="7" t="s">
        <v>11</v>
      </c>
      <c r="BC10" s="7" t="s">
        <v>14</v>
      </c>
      <c r="BD10" s="7" t="s">
        <v>11</v>
      </c>
      <c r="BE10" s="7" t="s">
        <v>13</v>
      </c>
      <c r="BF10" s="7" t="s">
        <v>14</v>
      </c>
      <c r="BG10" s="7" t="s">
        <v>11</v>
      </c>
      <c r="BH10" s="7" t="s">
        <v>13</v>
      </c>
      <c r="BI10" s="7" t="s">
        <v>14</v>
      </c>
      <c r="BJ10" s="7" t="s">
        <v>13</v>
      </c>
      <c r="BK10" s="7" t="s">
        <v>14</v>
      </c>
      <c r="BL10" s="7" t="s">
        <v>11</v>
      </c>
      <c r="BM10" s="7" t="s">
        <v>14</v>
      </c>
      <c r="BN10" s="7" t="s">
        <v>13</v>
      </c>
      <c r="BO10" s="7" t="s">
        <v>11</v>
      </c>
      <c r="BP10" s="7" t="s">
        <v>11</v>
      </c>
      <c r="BQ10" s="7" t="s">
        <v>14</v>
      </c>
      <c r="BR10" s="7" t="s">
        <v>13</v>
      </c>
      <c r="BS10" s="7" t="s">
        <v>11</v>
      </c>
      <c r="BT10" s="7" t="s">
        <v>13</v>
      </c>
      <c r="BU10" s="7" t="s">
        <v>14</v>
      </c>
      <c r="BV10" s="8"/>
      <c r="BW10" s="9"/>
    </row>
    <row r="11" spans="1:75" ht="40.200000000000003" thickBot="1" x14ac:dyDescent="0.35">
      <c r="A11" s="10">
        <v>46144.910497685189</v>
      </c>
      <c r="B11" s="11" t="s">
        <v>9</v>
      </c>
      <c r="C11" s="11" t="s">
        <v>10</v>
      </c>
      <c r="D11" s="11" t="s">
        <v>14</v>
      </c>
      <c r="E11" s="11" t="s">
        <v>11</v>
      </c>
      <c r="F11" s="11" t="s">
        <v>12</v>
      </c>
      <c r="G11" s="11" t="s">
        <v>13</v>
      </c>
      <c r="H11" s="11" t="s">
        <v>11</v>
      </c>
      <c r="I11" s="11" t="s">
        <v>12</v>
      </c>
      <c r="J11" s="11" t="s">
        <v>14</v>
      </c>
      <c r="K11" s="11" t="s">
        <v>13</v>
      </c>
      <c r="L11" s="11" t="s">
        <v>13</v>
      </c>
      <c r="M11" s="11" t="s">
        <v>12</v>
      </c>
      <c r="N11" s="11" t="s">
        <v>14</v>
      </c>
      <c r="O11" s="11" t="s">
        <v>11</v>
      </c>
      <c r="P11" s="11" t="s">
        <v>11</v>
      </c>
      <c r="Q11" s="11" t="s">
        <v>12</v>
      </c>
      <c r="R11" s="11" t="s">
        <v>13</v>
      </c>
      <c r="S11" s="11" t="s">
        <v>14</v>
      </c>
      <c r="T11" s="11" t="s">
        <v>11</v>
      </c>
      <c r="U11" s="11" t="s">
        <v>12</v>
      </c>
      <c r="V11" s="11" t="s">
        <v>13</v>
      </c>
      <c r="W11" s="11" t="s">
        <v>14</v>
      </c>
      <c r="X11" s="11" t="s">
        <v>14</v>
      </c>
      <c r="Y11" s="11" t="s">
        <v>13</v>
      </c>
      <c r="Z11" s="11" t="s">
        <v>12</v>
      </c>
      <c r="AA11" s="11" t="s">
        <v>11</v>
      </c>
      <c r="AB11" s="11" t="s">
        <v>13</v>
      </c>
      <c r="AC11" s="11" t="s">
        <v>14</v>
      </c>
      <c r="AD11" s="11" t="s">
        <v>11</v>
      </c>
      <c r="AE11" s="11" t="s">
        <v>12</v>
      </c>
      <c r="AF11" s="11" t="s">
        <v>14</v>
      </c>
      <c r="AG11" s="11" t="s">
        <v>13</v>
      </c>
      <c r="AH11" s="11" t="s">
        <v>12</v>
      </c>
      <c r="AI11" s="11" t="s">
        <v>11</v>
      </c>
      <c r="AJ11" s="11" t="s">
        <v>11</v>
      </c>
      <c r="AK11" s="11" t="s">
        <v>14</v>
      </c>
      <c r="AL11" s="11" t="s">
        <v>13</v>
      </c>
      <c r="AM11" s="11" t="s">
        <v>12</v>
      </c>
      <c r="AN11" s="11" t="s">
        <v>12</v>
      </c>
      <c r="AO11" s="11" t="s">
        <v>11</v>
      </c>
      <c r="AP11" s="11" t="s">
        <v>13</v>
      </c>
      <c r="AQ11" s="11" t="s">
        <v>14</v>
      </c>
      <c r="AR11" s="11" t="s">
        <v>14</v>
      </c>
      <c r="AS11" s="11" t="s">
        <v>13</v>
      </c>
      <c r="AT11" s="11" t="s">
        <v>11</v>
      </c>
      <c r="AU11" s="11" t="s">
        <v>14</v>
      </c>
      <c r="AV11" s="11" t="s">
        <v>13</v>
      </c>
      <c r="AW11" s="11" t="s">
        <v>11</v>
      </c>
      <c r="AX11" s="11" t="s">
        <v>14</v>
      </c>
      <c r="AY11" s="11" t="s">
        <v>11</v>
      </c>
      <c r="AZ11" s="11" t="s">
        <v>13</v>
      </c>
      <c r="BA11" s="11" t="s">
        <v>11</v>
      </c>
      <c r="BB11" s="11" t="s">
        <v>13</v>
      </c>
      <c r="BC11" s="11" t="s">
        <v>14</v>
      </c>
      <c r="BD11" s="11" t="s">
        <v>14</v>
      </c>
      <c r="BE11" s="11" t="s">
        <v>13</v>
      </c>
      <c r="BF11" s="11" t="s">
        <v>11</v>
      </c>
      <c r="BG11" s="11" t="s">
        <v>13</v>
      </c>
      <c r="BH11" s="11" t="s">
        <v>14</v>
      </c>
      <c r="BI11" s="11" t="s">
        <v>11</v>
      </c>
      <c r="BJ11" s="11" t="s">
        <v>14</v>
      </c>
      <c r="BK11" s="11" t="s">
        <v>11</v>
      </c>
      <c r="BL11" s="11" t="s">
        <v>13</v>
      </c>
      <c r="BM11" s="11" t="s">
        <v>14</v>
      </c>
      <c r="BN11" s="11" t="s">
        <v>11</v>
      </c>
      <c r="BO11" s="11" t="s">
        <v>13</v>
      </c>
      <c r="BP11" s="11" t="s">
        <v>14</v>
      </c>
      <c r="BQ11" s="11" t="s">
        <v>11</v>
      </c>
      <c r="BR11" s="11" t="s">
        <v>13</v>
      </c>
      <c r="BS11" s="11" t="s">
        <v>14</v>
      </c>
      <c r="BT11" s="11" t="s">
        <v>13</v>
      </c>
      <c r="BU11" s="11" t="s">
        <v>11</v>
      </c>
      <c r="BV11" s="12"/>
      <c r="BW11" s="13"/>
    </row>
    <row r="12" spans="1:75" ht="79.8" thickBot="1" x14ac:dyDescent="0.35">
      <c r="A12" s="6">
        <v>46145.364108796297</v>
      </c>
      <c r="B12" s="7" t="s">
        <v>17</v>
      </c>
      <c r="C12" s="7" t="s">
        <v>15</v>
      </c>
      <c r="D12" s="7" t="s">
        <v>11</v>
      </c>
      <c r="E12" s="7" t="s">
        <v>12</v>
      </c>
      <c r="F12" s="7" t="s">
        <v>13</v>
      </c>
      <c r="G12" s="7" t="s">
        <v>12</v>
      </c>
      <c r="H12" s="7" t="s">
        <v>13</v>
      </c>
      <c r="I12" s="7" t="s">
        <v>14</v>
      </c>
      <c r="J12" s="7" t="s">
        <v>12</v>
      </c>
      <c r="K12" s="7" t="s">
        <v>11</v>
      </c>
      <c r="L12" s="7" t="s">
        <v>14</v>
      </c>
      <c r="M12" s="7" t="s">
        <v>12</v>
      </c>
      <c r="N12" s="7" t="s">
        <v>11</v>
      </c>
      <c r="O12" s="7" t="s">
        <v>13</v>
      </c>
      <c r="P12" s="7" t="s">
        <v>11</v>
      </c>
      <c r="Q12" s="7" t="s">
        <v>14</v>
      </c>
      <c r="R12" s="7" t="s">
        <v>13</v>
      </c>
      <c r="S12" s="7" t="s">
        <v>12</v>
      </c>
      <c r="T12" s="7" t="s">
        <v>11</v>
      </c>
      <c r="U12" s="7" t="s">
        <v>12</v>
      </c>
      <c r="V12" s="7" t="s">
        <v>13</v>
      </c>
      <c r="W12" s="7" t="s">
        <v>14</v>
      </c>
      <c r="X12" s="7" t="s">
        <v>14</v>
      </c>
      <c r="Y12" s="7" t="s">
        <v>11</v>
      </c>
      <c r="Z12" s="7" t="s">
        <v>12</v>
      </c>
      <c r="AA12" s="7" t="s">
        <v>13</v>
      </c>
      <c r="AB12" s="7" t="s">
        <v>13</v>
      </c>
      <c r="AC12" s="7" t="s">
        <v>11</v>
      </c>
      <c r="AD12" s="7" t="s">
        <v>12</v>
      </c>
      <c r="AE12" s="7" t="s">
        <v>14</v>
      </c>
      <c r="AF12" s="7" t="s">
        <v>13</v>
      </c>
      <c r="AG12" s="7" t="s">
        <v>14</v>
      </c>
      <c r="AH12" s="7" t="s">
        <v>12</v>
      </c>
      <c r="AI12" s="7" t="s">
        <v>11</v>
      </c>
      <c r="AJ12" s="7" t="s">
        <v>11</v>
      </c>
      <c r="AK12" s="7" t="s">
        <v>13</v>
      </c>
      <c r="AL12" s="7" t="s">
        <v>14</v>
      </c>
      <c r="AM12" s="7" t="s">
        <v>12</v>
      </c>
      <c r="AN12" s="7" t="s">
        <v>12</v>
      </c>
      <c r="AO12" s="7" t="s">
        <v>11</v>
      </c>
      <c r="AP12" s="7" t="s">
        <v>13</v>
      </c>
      <c r="AQ12" s="7" t="s">
        <v>14</v>
      </c>
      <c r="AR12" s="7" t="s">
        <v>14</v>
      </c>
      <c r="AS12" s="7" t="s">
        <v>13</v>
      </c>
      <c r="AT12" s="7" t="s">
        <v>11</v>
      </c>
      <c r="AU12" s="7" t="s">
        <v>13</v>
      </c>
      <c r="AV12" s="7" t="s">
        <v>11</v>
      </c>
      <c r="AW12" s="7" t="s">
        <v>14</v>
      </c>
      <c r="AX12" s="7" t="s">
        <v>14</v>
      </c>
      <c r="AY12" s="7" t="s">
        <v>13</v>
      </c>
      <c r="AZ12" s="7" t="s">
        <v>11</v>
      </c>
      <c r="BA12" s="7" t="s">
        <v>11</v>
      </c>
      <c r="BB12" s="7" t="s">
        <v>13</v>
      </c>
      <c r="BC12" s="7" t="s">
        <v>14</v>
      </c>
      <c r="BD12" s="7" t="s">
        <v>14</v>
      </c>
      <c r="BE12" s="7" t="s">
        <v>11</v>
      </c>
      <c r="BF12" s="7" t="s">
        <v>13</v>
      </c>
      <c r="BG12" s="7" t="s">
        <v>11</v>
      </c>
      <c r="BH12" s="7" t="s">
        <v>14</v>
      </c>
      <c r="BI12" s="7" t="s">
        <v>13</v>
      </c>
      <c r="BJ12" s="7" t="s">
        <v>14</v>
      </c>
      <c r="BK12" s="7" t="s">
        <v>13</v>
      </c>
      <c r="BL12" s="7" t="s">
        <v>11</v>
      </c>
      <c r="BM12" s="7" t="s">
        <v>14</v>
      </c>
      <c r="BN12" s="7" t="s">
        <v>11</v>
      </c>
      <c r="BO12" s="7" t="s">
        <v>13</v>
      </c>
      <c r="BP12" s="7" t="s">
        <v>11</v>
      </c>
      <c r="BQ12" s="7" t="s">
        <v>13</v>
      </c>
      <c r="BR12" s="7" t="s">
        <v>14</v>
      </c>
      <c r="BS12" s="7" t="s">
        <v>13</v>
      </c>
      <c r="BT12" s="7" t="s">
        <v>11</v>
      </c>
      <c r="BU12" s="7" t="s">
        <v>14</v>
      </c>
      <c r="BV12" s="8"/>
      <c r="BW12" s="9"/>
    </row>
    <row r="13" spans="1:75" ht="79.8" thickBot="1" x14ac:dyDescent="0.35">
      <c r="A13" s="10">
        <v>46145.464004629626</v>
      </c>
      <c r="B13" s="11" t="s">
        <v>9</v>
      </c>
      <c r="C13" s="11" t="s">
        <v>15</v>
      </c>
      <c r="D13" s="11" t="s">
        <v>11</v>
      </c>
      <c r="E13" s="11" t="s">
        <v>13</v>
      </c>
      <c r="F13" s="11" t="s">
        <v>14</v>
      </c>
      <c r="G13" s="11" t="s">
        <v>12</v>
      </c>
      <c r="H13" s="11" t="s">
        <v>12</v>
      </c>
      <c r="I13" s="11" t="s">
        <v>14</v>
      </c>
      <c r="J13" s="11" t="s">
        <v>13</v>
      </c>
      <c r="K13" s="11" t="s">
        <v>11</v>
      </c>
      <c r="L13" s="11" t="s">
        <v>12</v>
      </c>
      <c r="M13" s="11" t="s">
        <v>14</v>
      </c>
      <c r="N13" s="11" t="s">
        <v>13</v>
      </c>
      <c r="O13" s="11" t="s">
        <v>11</v>
      </c>
      <c r="P13" s="11" t="s">
        <v>12</v>
      </c>
      <c r="Q13" s="11" t="s">
        <v>14</v>
      </c>
      <c r="R13" s="11" t="s">
        <v>13</v>
      </c>
      <c r="S13" s="11" t="s">
        <v>11</v>
      </c>
      <c r="T13" s="11" t="s">
        <v>11</v>
      </c>
      <c r="U13" s="11" t="s">
        <v>11</v>
      </c>
      <c r="V13" s="11" t="s">
        <v>11</v>
      </c>
      <c r="W13" s="11" t="s">
        <v>11</v>
      </c>
      <c r="X13" s="11" t="s">
        <v>11</v>
      </c>
      <c r="Y13" s="11" t="s">
        <v>13</v>
      </c>
      <c r="Z13" s="11" t="s">
        <v>14</v>
      </c>
      <c r="AA13" s="11" t="s">
        <v>12</v>
      </c>
      <c r="AB13" s="11" t="s">
        <v>11</v>
      </c>
      <c r="AC13" s="11" t="s">
        <v>13</v>
      </c>
      <c r="AD13" s="11" t="s">
        <v>14</v>
      </c>
      <c r="AE13" s="11" t="s">
        <v>12</v>
      </c>
      <c r="AF13" s="11" t="s">
        <v>12</v>
      </c>
      <c r="AG13" s="11" t="s">
        <v>14</v>
      </c>
      <c r="AH13" s="11" t="s">
        <v>13</v>
      </c>
      <c r="AI13" s="11" t="s">
        <v>11</v>
      </c>
      <c r="AJ13" s="11" t="s">
        <v>13</v>
      </c>
      <c r="AK13" s="11" t="s">
        <v>13</v>
      </c>
      <c r="AL13" s="11" t="s">
        <v>13</v>
      </c>
      <c r="AM13" s="11" t="s">
        <v>13</v>
      </c>
      <c r="AN13" s="11" t="s">
        <v>12</v>
      </c>
      <c r="AO13" s="11" t="s">
        <v>12</v>
      </c>
      <c r="AP13" s="11" t="s">
        <v>12</v>
      </c>
      <c r="AQ13" s="11" t="s">
        <v>12</v>
      </c>
      <c r="AR13" s="11" t="s">
        <v>13</v>
      </c>
      <c r="AS13" s="11" t="s">
        <v>13</v>
      </c>
      <c r="AT13" s="11" t="s">
        <v>13</v>
      </c>
      <c r="AU13" s="11" t="s">
        <v>11</v>
      </c>
      <c r="AV13" s="11" t="s">
        <v>14</v>
      </c>
      <c r="AW13" s="11" t="s">
        <v>13</v>
      </c>
      <c r="AX13" s="11" t="s">
        <v>14</v>
      </c>
      <c r="AY13" s="11" t="s">
        <v>11</v>
      </c>
      <c r="AZ13" s="11" t="s">
        <v>13</v>
      </c>
      <c r="BA13" s="11" t="s">
        <v>11</v>
      </c>
      <c r="BB13" s="11" t="s">
        <v>11</v>
      </c>
      <c r="BC13" s="11" t="s">
        <v>14</v>
      </c>
      <c r="BD13" s="11" t="s">
        <v>14</v>
      </c>
      <c r="BE13" s="11" t="s">
        <v>13</v>
      </c>
      <c r="BF13" s="11" t="s">
        <v>11</v>
      </c>
      <c r="BG13" s="11" t="s">
        <v>14</v>
      </c>
      <c r="BH13" s="11" t="s">
        <v>13</v>
      </c>
      <c r="BI13" s="11" t="s">
        <v>11</v>
      </c>
      <c r="BJ13" s="11" t="s">
        <v>13</v>
      </c>
      <c r="BK13" s="11" t="s">
        <v>14</v>
      </c>
      <c r="BL13" s="11" t="s">
        <v>11</v>
      </c>
      <c r="BM13" s="11" t="s">
        <v>14</v>
      </c>
      <c r="BN13" s="11" t="s">
        <v>14</v>
      </c>
      <c r="BO13" s="11" t="s">
        <v>14</v>
      </c>
      <c r="BP13" s="11" t="s">
        <v>13</v>
      </c>
      <c r="BQ13" s="11" t="s">
        <v>14</v>
      </c>
      <c r="BR13" s="11" t="s">
        <v>14</v>
      </c>
      <c r="BS13" s="11" t="s">
        <v>13</v>
      </c>
      <c r="BT13" s="11" t="s">
        <v>14</v>
      </c>
      <c r="BU13" s="11" t="s">
        <v>11</v>
      </c>
      <c r="BV13" s="12"/>
      <c r="BW13" s="13"/>
    </row>
    <row r="14" spans="1:75" ht="40.200000000000003" thickBot="1" x14ac:dyDescent="0.35">
      <c r="A14" s="6">
        <v>46145.527743055558</v>
      </c>
      <c r="B14" s="7" t="s">
        <v>9</v>
      </c>
      <c r="C14" s="7" t="s">
        <v>10</v>
      </c>
      <c r="D14" s="7" t="s">
        <v>11</v>
      </c>
      <c r="E14" s="7" t="s">
        <v>12</v>
      </c>
      <c r="F14" s="7" t="s">
        <v>14</v>
      </c>
      <c r="G14" s="7" t="s">
        <v>13</v>
      </c>
      <c r="H14" s="7" t="s">
        <v>13</v>
      </c>
      <c r="I14" s="7" t="s">
        <v>14</v>
      </c>
      <c r="J14" s="7" t="s">
        <v>12</v>
      </c>
      <c r="K14" s="7" t="s">
        <v>11</v>
      </c>
      <c r="L14" s="7" t="s">
        <v>14</v>
      </c>
      <c r="M14" s="7" t="s">
        <v>13</v>
      </c>
      <c r="N14" s="7" t="s">
        <v>12</v>
      </c>
      <c r="O14" s="7" t="s">
        <v>11</v>
      </c>
      <c r="P14" s="7" t="s">
        <v>11</v>
      </c>
      <c r="Q14" s="7" t="s">
        <v>12</v>
      </c>
      <c r="R14" s="7" t="s">
        <v>14</v>
      </c>
      <c r="S14" s="7" t="s">
        <v>13</v>
      </c>
      <c r="T14" s="7" t="s">
        <v>11</v>
      </c>
      <c r="U14" s="7" t="s">
        <v>12</v>
      </c>
      <c r="V14" s="7" t="s">
        <v>13</v>
      </c>
      <c r="W14" s="7" t="s">
        <v>14</v>
      </c>
      <c r="X14" s="7" t="s">
        <v>14</v>
      </c>
      <c r="Y14" s="7" t="s">
        <v>13</v>
      </c>
      <c r="Z14" s="7" t="s">
        <v>12</v>
      </c>
      <c r="AA14" s="7" t="s">
        <v>11</v>
      </c>
      <c r="AB14" s="7" t="s">
        <v>11</v>
      </c>
      <c r="AC14" s="7" t="s">
        <v>12</v>
      </c>
      <c r="AD14" s="7" t="s">
        <v>13</v>
      </c>
      <c r="AE14" s="7" t="s">
        <v>14</v>
      </c>
      <c r="AF14" s="7" t="s">
        <v>13</v>
      </c>
      <c r="AG14" s="7" t="s">
        <v>14</v>
      </c>
      <c r="AH14" s="7" t="s">
        <v>12</v>
      </c>
      <c r="AI14" s="7" t="s">
        <v>11</v>
      </c>
      <c r="AJ14" s="7" t="s">
        <v>11</v>
      </c>
      <c r="AK14" s="7" t="s">
        <v>12</v>
      </c>
      <c r="AL14" s="7" t="s">
        <v>14</v>
      </c>
      <c r="AM14" s="7" t="s">
        <v>13</v>
      </c>
      <c r="AN14" s="7" t="s">
        <v>12</v>
      </c>
      <c r="AO14" s="7" t="s">
        <v>14</v>
      </c>
      <c r="AP14" s="7" t="s">
        <v>13</v>
      </c>
      <c r="AQ14" s="7" t="s">
        <v>11</v>
      </c>
      <c r="AR14" s="7" t="s">
        <v>14</v>
      </c>
      <c r="AS14" s="7" t="s">
        <v>11</v>
      </c>
      <c r="AT14" s="7" t="s">
        <v>13</v>
      </c>
      <c r="AU14" s="7" t="s">
        <v>14</v>
      </c>
      <c r="AV14" s="7" t="s">
        <v>13</v>
      </c>
      <c r="AW14" s="7" t="s">
        <v>11</v>
      </c>
      <c r="AX14" s="7" t="s">
        <v>14</v>
      </c>
      <c r="AY14" s="7" t="s">
        <v>13</v>
      </c>
      <c r="AZ14" s="7" t="s">
        <v>11</v>
      </c>
      <c r="BA14" s="7" t="s">
        <v>13</v>
      </c>
      <c r="BB14" s="7" t="s">
        <v>14</v>
      </c>
      <c r="BC14" s="7" t="s">
        <v>11</v>
      </c>
      <c r="BD14" s="7" t="s">
        <v>14</v>
      </c>
      <c r="BE14" s="7" t="s">
        <v>11</v>
      </c>
      <c r="BF14" s="7" t="s">
        <v>13</v>
      </c>
      <c r="BG14" s="7" t="s">
        <v>11</v>
      </c>
      <c r="BH14" s="7" t="s">
        <v>14</v>
      </c>
      <c r="BI14" s="7" t="s">
        <v>13</v>
      </c>
      <c r="BJ14" s="7" t="s">
        <v>13</v>
      </c>
      <c r="BK14" s="7" t="s">
        <v>11</v>
      </c>
      <c r="BL14" s="7" t="s">
        <v>14</v>
      </c>
      <c r="BM14" s="7" t="s">
        <v>14</v>
      </c>
      <c r="BN14" s="7" t="s">
        <v>11</v>
      </c>
      <c r="BO14" s="7" t="s">
        <v>13</v>
      </c>
      <c r="BP14" s="7" t="s">
        <v>11</v>
      </c>
      <c r="BQ14" s="7" t="s">
        <v>13</v>
      </c>
      <c r="BR14" s="7" t="s">
        <v>14</v>
      </c>
      <c r="BS14" s="7" t="s">
        <v>13</v>
      </c>
      <c r="BT14" s="7" t="s">
        <v>11</v>
      </c>
      <c r="BU14" s="7" t="s">
        <v>14</v>
      </c>
      <c r="BV14" s="8"/>
      <c r="BW14" s="9"/>
    </row>
    <row r="15" spans="1:75" ht="79.8" thickBot="1" x14ac:dyDescent="0.35">
      <c r="A15" s="10">
        <v>46145.891736111109</v>
      </c>
      <c r="B15" s="11" t="s">
        <v>9</v>
      </c>
      <c r="C15" s="11" t="s">
        <v>15</v>
      </c>
      <c r="D15" s="11" t="s">
        <v>13</v>
      </c>
      <c r="E15" s="11" t="s">
        <v>11</v>
      </c>
      <c r="F15" s="11" t="s">
        <v>14</v>
      </c>
      <c r="G15" s="11" t="s">
        <v>12</v>
      </c>
      <c r="H15" s="11" t="s">
        <v>11</v>
      </c>
      <c r="I15" s="11" t="s">
        <v>12</v>
      </c>
      <c r="J15" s="11" t="s">
        <v>14</v>
      </c>
      <c r="K15" s="11" t="s">
        <v>13</v>
      </c>
      <c r="L15" s="11" t="s">
        <v>13</v>
      </c>
      <c r="M15" s="11" t="s">
        <v>14</v>
      </c>
      <c r="N15" s="11" t="s">
        <v>12</v>
      </c>
      <c r="O15" s="11" t="s">
        <v>11</v>
      </c>
      <c r="P15" s="11" t="s">
        <v>11</v>
      </c>
      <c r="Q15" s="11" t="s">
        <v>12</v>
      </c>
      <c r="R15" s="11" t="s">
        <v>13</v>
      </c>
      <c r="S15" s="11" t="s">
        <v>14</v>
      </c>
      <c r="T15" s="11" t="s">
        <v>11</v>
      </c>
      <c r="U15" s="11" t="s">
        <v>12</v>
      </c>
      <c r="V15" s="11" t="s">
        <v>13</v>
      </c>
      <c r="W15" s="11" t="s">
        <v>14</v>
      </c>
      <c r="X15" s="11" t="s">
        <v>11</v>
      </c>
      <c r="Y15" s="11" t="s">
        <v>12</v>
      </c>
      <c r="Z15" s="11" t="s">
        <v>13</v>
      </c>
      <c r="AA15" s="11" t="s">
        <v>14</v>
      </c>
      <c r="AB15" s="11" t="s">
        <v>13</v>
      </c>
      <c r="AC15" s="11" t="s">
        <v>11</v>
      </c>
      <c r="AD15" s="11" t="s">
        <v>14</v>
      </c>
      <c r="AE15" s="11" t="s">
        <v>12</v>
      </c>
      <c r="AF15" s="11" t="s">
        <v>14</v>
      </c>
      <c r="AG15" s="11" t="s">
        <v>13</v>
      </c>
      <c r="AH15" s="11" t="s">
        <v>11</v>
      </c>
      <c r="AI15" s="11" t="s">
        <v>12</v>
      </c>
      <c r="AJ15" s="11" t="s">
        <v>11</v>
      </c>
      <c r="AK15" s="11" t="s">
        <v>14</v>
      </c>
      <c r="AL15" s="11" t="s">
        <v>13</v>
      </c>
      <c r="AM15" s="11" t="s">
        <v>12</v>
      </c>
      <c r="AN15" s="11" t="s">
        <v>12</v>
      </c>
      <c r="AO15" s="11" t="s">
        <v>14</v>
      </c>
      <c r="AP15" s="11" t="s">
        <v>13</v>
      </c>
      <c r="AQ15" s="11" t="s">
        <v>11</v>
      </c>
      <c r="AR15" s="11" t="s">
        <v>13</v>
      </c>
      <c r="AS15" s="11" t="s">
        <v>11</v>
      </c>
      <c r="AT15" s="11" t="s">
        <v>14</v>
      </c>
      <c r="AU15" s="11" t="s">
        <v>13</v>
      </c>
      <c r="AV15" s="11" t="s">
        <v>14</v>
      </c>
      <c r="AW15" s="11" t="s">
        <v>11</v>
      </c>
      <c r="AX15" s="11" t="s">
        <v>13</v>
      </c>
      <c r="AY15" s="11" t="s">
        <v>11</v>
      </c>
      <c r="AZ15" s="11" t="s">
        <v>14</v>
      </c>
      <c r="BA15" s="11" t="s">
        <v>13</v>
      </c>
      <c r="BB15" s="11" t="s">
        <v>11</v>
      </c>
      <c r="BC15" s="11" t="s">
        <v>14</v>
      </c>
      <c r="BD15" s="11" t="s">
        <v>14</v>
      </c>
      <c r="BE15" s="11" t="s">
        <v>13</v>
      </c>
      <c r="BF15" s="11" t="s">
        <v>11</v>
      </c>
      <c r="BG15" s="11" t="s">
        <v>13</v>
      </c>
      <c r="BH15" s="11" t="s">
        <v>14</v>
      </c>
      <c r="BI15" s="11" t="s">
        <v>11</v>
      </c>
      <c r="BJ15" s="11" t="s">
        <v>14</v>
      </c>
      <c r="BK15" s="11" t="s">
        <v>11</v>
      </c>
      <c r="BL15" s="11" t="s">
        <v>13</v>
      </c>
      <c r="BM15" s="11" t="s">
        <v>14</v>
      </c>
      <c r="BN15" s="11" t="s">
        <v>11</v>
      </c>
      <c r="BO15" s="11" t="s">
        <v>13</v>
      </c>
      <c r="BP15" s="11" t="s">
        <v>14</v>
      </c>
      <c r="BQ15" s="11" t="s">
        <v>13</v>
      </c>
      <c r="BR15" s="11" t="s">
        <v>11</v>
      </c>
      <c r="BS15" s="11" t="s">
        <v>11</v>
      </c>
      <c r="BT15" s="11" t="s">
        <v>13</v>
      </c>
      <c r="BU15" s="11" t="s">
        <v>14</v>
      </c>
      <c r="BV15" s="12"/>
      <c r="BW15" s="13"/>
    </row>
    <row r="16" spans="1:75" ht="40.200000000000003" thickBot="1" x14ac:dyDescent="0.35">
      <c r="A16" s="6">
        <v>46145.89329861111</v>
      </c>
      <c r="B16" s="7" t="s">
        <v>9</v>
      </c>
      <c r="C16" s="7" t="s">
        <v>10</v>
      </c>
      <c r="D16" s="7" t="s">
        <v>11</v>
      </c>
      <c r="E16" s="7" t="s">
        <v>12</v>
      </c>
      <c r="F16" s="7" t="s">
        <v>14</v>
      </c>
      <c r="G16" s="7" t="s">
        <v>13</v>
      </c>
      <c r="H16" s="7" t="s">
        <v>11</v>
      </c>
      <c r="I16" s="7" t="s">
        <v>12</v>
      </c>
      <c r="J16" s="7" t="s">
        <v>14</v>
      </c>
      <c r="K16" s="7" t="s">
        <v>13</v>
      </c>
      <c r="L16" s="7" t="s">
        <v>14</v>
      </c>
      <c r="M16" s="7" t="s">
        <v>13</v>
      </c>
      <c r="N16" s="7" t="s">
        <v>12</v>
      </c>
      <c r="O16" s="7" t="s">
        <v>11</v>
      </c>
      <c r="P16" s="7" t="s">
        <v>11</v>
      </c>
      <c r="Q16" s="7" t="s">
        <v>12</v>
      </c>
      <c r="R16" s="7" t="s">
        <v>14</v>
      </c>
      <c r="S16" s="7" t="s">
        <v>13</v>
      </c>
      <c r="T16" s="7" t="s">
        <v>11</v>
      </c>
      <c r="U16" s="7" t="s">
        <v>12</v>
      </c>
      <c r="V16" s="7" t="s">
        <v>13</v>
      </c>
      <c r="W16" s="7" t="s">
        <v>14</v>
      </c>
      <c r="X16" s="7" t="s">
        <v>14</v>
      </c>
      <c r="Y16" s="7" t="s">
        <v>13</v>
      </c>
      <c r="Z16" s="7" t="s">
        <v>12</v>
      </c>
      <c r="AA16" s="7" t="s">
        <v>11</v>
      </c>
      <c r="AB16" s="7" t="s">
        <v>13</v>
      </c>
      <c r="AC16" s="7" t="s">
        <v>12</v>
      </c>
      <c r="AD16" s="7" t="s">
        <v>14</v>
      </c>
      <c r="AE16" s="7" t="s">
        <v>11</v>
      </c>
      <c r="AF16" s="7" t="s">
        <v>14</v>
      </c>
      <c r="AG16" s="7" t="s">
        <v>13</v>
      </c>
      <c r="AH16" s="7" t="s">
        <v>12</v>
      </c>
      <c r="AI16" s="7" t="s">
        <v>11</v>
      </c>
      <c r="AJ16" s="7" t="s">
        <v>11</v>
      </c>
      <c r="AK16" s="7" t="s">
        <v>12</v>
      </c>
      <c r="AL16" s="7" t="s">
        <v>14</v>
      </c>
      <c r="AM16" s="7" t="s">
        <v>13</v>
      </c>
      <c r="AN16" s="7" t="s">
        <v>12</v>
      </c>
      <c r="AO16" s="7" t="s">
        <v>14</v>
      </c>
      <c r="AP16" s="7" t="s">
        <v>13</v>
      </c>
      <c r="AQ16" s="7" t="s">
        <v>11</v>
      </c>
      <c r="AR16" s="7" t="s">
        <v>13</v>
      </c>
      <c r="AS16" s="7" t="s">
        <v>11</v>
      </c>
      <c r="AT16" s="7" t="s">
        <v>14</v>
      </c>
      <c r="AU16" s="7" t="s">
        <v>13</v>
      </c>
      <c r="AV16" s="7" t="s">
        <v>14</v>
      </c>
      <c r="AW16" s="7" t="s">
        <v>11</v>
      </c>
      <c r="AX16" s="7" t="s">
        <v>14</v>
      </c>
      <c r="AY16" s="7" t="s">
        <v>11</v>
      </c>
      <c r="AZ16" s="7" t="s">
        <v>13</v>
      </c>
      <c r="BA16" s="7" t="s">
        <v>11</v>
      </c>
      <c r="BB16" s="7" t="s">
        <v>13</v>
      </c>
      <c r="BC16" s="7" t="s">
        <v>14</v>
      </c>
      <c r="BD16" s="7" t="s">
        <v>14</v>
      </c>
      <c r="BE16" s="7" t="s">
        <v>11</v>
      </c>
      <c r="BF16" s="7" t="s">
        <v>13</v>
      </c>
      <c r="BG16" s="7" t="s">
        <v>11</v>
      </c>
      <c r="BH16" s="7" t="s">
        <v>14</v>
      </c>
      <c r="BI16" s="7" t="s">
        <v>13</v>
      </c>
      <c r="BJ16" s="7" t="s">
        <v>14</v>
      </c>
      <c r="BK16" s="7" t="s">
        <v>11</v>
      </c>
      <c r="BL16" s="7" t="s">
        <v>13</v>
      </c>
      <c r="BM16" s="7" t="s">
        <v>14</v>
      </c>
      <c r="BN16" s="7" t="s">
        <v>11</v>
      </c>
      <c r="BO16" s="7" t="s">
        <v>13</v>
      </c>
      <c r="BP16" s="7" t="s">
        <v>11</v>
      </c>
      <c r="BQ16" s="7" t="s">
        <v>13</v>
      </c>
      <c r="BR16" s="7" t="s">
        <v>14</v>
      </c>
      <c r="BS16" s="7" t="s">
        <v>11</v>
      </c>
      <c r="BT16" s="7" t="s">
        <v>13</v>
      </c>
      <c r="BU16" s="7" t="s">
        <v>14</v>
      </c>
      <c r="BV16" s="8"/>
      <c r="BW16" s="9"/>
    </row>
    <row r="17" spans="1:75" ht="79.8" thickBot="1" x14ac:dyDescent="0.35">
      <c r="A17" s="10">
        <v>46145.89634259259</v>
      </c>
      <c r="B17" s="11" t="s">
        <v>9</v>
      </c>
      <c r="C17" s="11" t="s">
        <v>15</v>
      </c>
      <c r="D17" s="11" t="s">
        <v>14</v>
      </c>
      <c r="E17" s="11" t="s">
        <v>12</v>
      </c>
      <c r="F17" s="11" t="s">
        <v>12</v>
      </c>
      <c r="G17" s="11" t="s">
        <v>12</v>
      </c>
      <c r="H17" s="11" t="s">
        <v>13</v>
      </c>
      <c r="I17" s="11" t="s">
        <v>14</v>
      </c>
      <c r="J17" s="11" t="s">
        <v>14</v>
      </c>
      <c r="K17" s="11" t="s">
        <v>13</v>
      </c>
      <c r="L17" s="11" t="s">
        <v>14</v>
      </c>
      <c r="M17" s="11" t="s">
        <v>13</v>
      </c>
      <c r="N17" s="11" t="s">
        <v>13</v>
      </c>
      <c r="O17" s="11" t="s">
        <v>14</v>
      </c>
      <c r="P17" s="11" t="s">
        <v>11</v>
      </c>
      <c r="Q17" s="11" t="s">
        <v>12</v>
      </c>
      <c r="R17" s="11" t="s">
        <v>13</v>
      </c>
      <c r="S17" s="11" t="s">
        <v>12</v>
      </c>
      <c r="T17" s="11" t="s">
        <v>11</v>
      </c>
      <c r="U17" s="11" t="s">
        <v>12</v>
      </c>
      <c r="V17" s="11" t="s">
        <v>11</v>
      </c>
      <c r="W17" s="11" t="s">
        <v>12</v>
      </c>
      <c r="X17" s="11" t="s">
        <v>14</v>
      </c>
      <c r="Y17" s="11" t="s">
        <v>13</v>
      </c>
      <c r="Z17" s="11" t="s">
        <v>12</v>
      </c>
      <c r="AA17" s="11" t="s">
        <v>13</v>
      </c>
      <c r="AB17" s="11" t="s">
        <v>13</v>
      </c>
      <c r="AC17" s="11" t="s">
        <v>12</v>
      </c>
      <c r="AD17" s="11" t="s">
        <v>13</v>
      </c>
      <c r="AE17" s="11" t="s">
        <v>12</v>
      </c>
      <c r="AF17" s="11" t="s">
        <v>14</v>
      </c>
      <c r="AG17" s="11" t="s">
        <v>13</v>
      </c>
      <c r="AH17" s="11" t="s">
        <v>14</v>
      </c>
      <c r="AI17" s="11" t="s">
        <v>13</v>
      </c>
      <c r="AJ17" s="11" t="s">
        <v>13</v>
      </c>
      <c r="AK17" s="11" t="s">
        <v>13</v>
      </c>
      <c r="AL17" s="11" t="s">
        <v>14</v>
      </c>
      <c r="AM17" s="11" t="s">
        <v>14</v>
      </c>
      <c r="AN17" s="11" t="s">
        <v>13</v>
      </c>
      <c r="AO17" s="11" t="s">
        <v>13</v>
      </c>
      <c r="AP17" s="11" t="s">
        <v>14</v>
      </c>
      <c r="AQ17" s="11" t="s">
        <v>12</v>
      </c>
      <c r="AR17" s="11" t="s">
        <v>13</v>
      </c>
      <c r="AS17" s="11" t="s">
        <v>13</v>
      </c>
      <c r="AT17" s="11" t="s">
        <v>11</v>
      </c>
      <c r="AU17" s="11" t="s">
        <v>14</v>
      </c>
      <c r="AV17" s="11" t="s">
        <v>14</v>
      </c>
      <c r="AW17" s="11" t="s">
        <v>13</v>
      </c>
      <c r="AX17" s="11" t="s">
        <v>13</v>
      </c>
      <c r="AY17" s="11" t="s">
        <v>11</v>
      </c>
      <c r="AZ17" s="11" t="s">
        <v>13</v>
      </c>
      <c r="BA17" s="11" t="s">
        <v>11</v>
      </c>
      <c r="BB17" s="11" t="s">
        <v>11</v>
      </c>
      <c r="BC17" s="11" t="s">
        <v>13</v>
      </c>
      <c r="BD17" s="11" t="s">
        <v>14</v>
      </c>
      <c r="BE17" s="11" t="s">
        <v>14</v>
      </c>
      <c r="BF17" s="11" t="s">
        <v>14</v>
      </c>
      <c r="BG17" s="11" t="s">
        <v>14</v>
      </c>
      <c r="BH17" s="11" t="s">
        <v>14</v>
      </c>
      <c r="BI17" s="11" t="s">
        <v>14</v>
      </c>
      <c r="BJ17" s="11" t="s">
        <v>13</v>
      </c>
      <c r="BK17" s="11" t="s">
        <v>13</v>
      </c>
      <c r="BL17" s="11" t="s">
        <v>14</v>
      </c>
      <c r="BM17" s="11" t="s">
        <v>14</v>
      </c>
      <c r="BN17" s="11" t="s">
        <v>11</v>
      </c>
      <c r="BO17" s="11" t="s">
        <v>14</v>
      </c>
      <c r="BP17" s="11" t="s">
        <v>11</v>
      </c>
      <c r="BQ17" s="11" t="s">
        <v>14</v>
      </c>
      <c r="BR17" s="11" t="s">
        <v>14</v>
      </c>
      <c r="BS17" s="11" t="s">
        <v>13</v>
      </c>
      <c r="BT17" s="11" t="s">
        <v>11</v>
      </c>
      <c r="BU17" s="11" t="s">
        <v>13</v>
      </c>
      <c r="BV17" s="12"/>
      <c r="BW17" s="13"/>
    </row>
    <row r="18" spans="1:75" ht="79.8" thickBot="1" x14ac:dyDescent="0.35">
      <c r="A18" s="6">
        <v>46145.919895833336</v>
      </c>
      <c r="B18" s="7" t="s">
        <v>9</v>
      </c>
      <c r="C18" s="7" t="s">
        <v>15</v>
      </c>
      <c r="D18" s="7" t="s">
        <v>11</v>
      </c>
      <c r="E18" s="7" t="s">
        <v>14</v>
      </c>
      <c r="F18" s="7" t="s">
        <v>12</v>
      </c>
      <c r="G18" s="7" t="s">
        <v>13</v>
      </c>
      <c r="H18" s="7" t="s">
        <v>12</v>
      </c>
      <c r="I18" s="7" t="s">
        <v>11</v>
      </c>
      <c r="J18" s="7" t="s">
        <v>13</v>
      </c>
      <c r="K18" s="7" t="s">
        <v>14</v>
      </c>
      <c r="L18" s="7" t="s">
        <v>11</v>
      </c>
      <c r="M18" s="7" t="s">
        <v>12</v>
      </c>
      <c r="N18" s="7" t="s">
        <v>14</v>
      </c>
      <c r="O18" s="7" t="s">
        <v>13</v>
      </c>
      <c r="P18" s="7" t="s">
        <v>11</v>
      </c>
      <c r="Q18" s="7" t="s">
        <v>14</v>
      </c>
      <c r="R18" s="7" t="s">
        <v>12</v>
      </c>
      <c r="S18" s="7" t="s">
        <v>13</v>
      </c>
      <c r="T18" s="7" t="s">
        <v>11</v>
      </c>
      <c r="U18" s="7" t="s">
        <v>14</v>
      </c>
      <c r="V18" s="7" t="s">
        <v>12</v>
      </c>
      <c r="W18" s="7" t="s">
        <v>13</v>
      </c>
      <c r="X18" s="7" t="s">
        <v>12</v>
      </c>
      <c r="Y18" s="7" t="s">
        <v>13</v>
      </c>
      <c r="Z18" s="7" t="s">
        <v>11</v>
      </c>
      <c r="AA18" s="7" t="s">
        <v>14</v>
      </c>
      <c r="AB18" s="7" t="s">
        <v>11</v>
      </c>
      <c r="AC18" s="7" t="s">
        <v>14</v>
      </c>
      <c r="AD18" s="7" t="s">
        <v>13</v>
      </c>
      <c r="AE18" s="7" t="s">
        <v>12</v>
      </c>
      <c r="AF18" s="7" t="s">
        <v>12</v>
      </c>
      <c r="AG18" s="7" t="s">
        <v>13</v>
      </c>
      <c r="AH18" s="7" t="s">
        <v>11</v>
      </c>
      <c r="AI18" s="7" t="s">
        <v>14</v>
      </c>
      <c r="AJ18" s="7" t="s">
        <v>12</v>
      </c>
      <c r="AK18" s="7" t="s">
        <v>11</v>
      </c>
      <c r="AL18" s="7" t="s">
        <v>14</v>
      </c>
      <c r="AM18" s="7" t="s">
        <v>13</v>
      </c>
      <c r="AN18" s="7" t="s">
        <v>13</v>
      </c>
      <c r="AO18" s="7" t="s">
        <v>12</v>
      </c>
      <c r="AP18" s="7" t="s">
        <v>14</v>
      </c>
      <c r="AQ18" s="7" t="s">
        <v>11</v>
      </c>
      <c r="AR18" s="7" t="s">
        <v>13</v>
      </c>
      <c r="AS18" s="7" t="s">
        <v>14</v>
      </c>
      <c r="AT18" s="7" t="s">
        <v>11</v>
      </c>
      <c r="AU18" s="7" t="s">
        <v>14</v>
      </c>
      <c r="AV18" s="7" t="s">
        <v>13</v>
      </c>
      <c r="AW18" s="7" t="s">
        <v>11</v>
      </c>
      <c r="AX18" s="7" t="s">
        <v>13</v>
      </c>
      <c r="AY18" s="7" t="s">
        <v>14</v>
      </c>
      <c r="AZ18" s="7" t="s">
        <v>11</v>
      </c>
      <c r="BA18" s="7" t="s">
        <v>11</v>
      </c>
      <c r="BB18" s="7" t="s">
        <v>13</v>
      </c>
      <c r="BC18" s="7" t="s">
        <v>14</v>
      </c>
      <c r="BD18" s="7" t="s">
        <v>13</v>
      </c>
      <c r="BE18" s="7" t="s">
        <v>14</v>
      </c>
      <c r="BF18" s="7" t="s">
        <v>11</v>
      </c>
      <c r="BG18" s="7" t="s">
        <v>11</v>
      </c>
      <c r="BH18" s="7" t="s">
        <v>14</v>
      </c>
      <c r="BI18" s="7" t="s">
        <v>13</v>
      </c>
      <c r="BJ18" s="7" t="s">
        <v>13</v>
      </c>
      <c r="BK18" s="7" t="s">
        <v>11</v>
      </c>
      <c r="BL18" s="7" t="s">
        <v>14</v>
      </c>
      <c r="BM18" s="7" t="s">
        <v>13</v>
      </c>
      <c r="BN18" s="7" t="s">
        <v>14</v>
      </c>
      <c r="BO18" s="7" t="s">
        <v>11</v>
      </c>
      <c r="BP18" s="7" t="s">
        <v>11</v>
      </c>
      <c r="BQ18" s="7" t="s">
        <v>13</v>
      </c>
      <c r="BR18" s="7" t="s">
        <v>14</v>
      </c>
      <c r="BS18" s="7" t="s">
        <v>13</v>
      </c>
      <c r="BT18" s="7" t="s">
        <v>14</v>
      </c>
      <c r="BU18" s="7" t="s">
        <v>11</v>
      </c>
      <c r="BV18" s="7" t="s">
        <v>18</v>
      </c>
      <c r="BW18" s="9"/>
    </row>
    <row r="19" spans="1:75" ht="79.8" thickBot="1" x14ac:dyDescent="0.35">
      <c r="A19" s="10">
        <v>46145.920891203707</v>
      </c>
      <c r="B19" s="11" t="s">
        <v>9</v>
      </c>
      <c r="C19" s="11" t="s">
        <v>15</v>
      </c>
      <c r="D19" s="11" t="s">
        <v>14</v>
      </c>
      <c r="E19" s="11" t="s">
        <v>12</v>
      </c>
      <c r="F19" s="11" t="s">
        <v>13</v>
      </c>
      <c r="G19" s="11" t="s">
        <v>11</v>
      </c>
      <c r="H19" s="11" t="s">
        <v>11</v>
      </c>
      <c r="I19" s="11" t="s">
        <v>14</v>
      </c>
      <c r="J19" s="11" t="s">
        <v>12</v>
      </c>
      <c r="K19" s="11" t="s">
        <v>13</v>
      </c>
      <c r="L19" s="11" t="s">
        <v>11</v>
      </c>
      <c r="M19" s="11" t="s">
        <v>12</v>
      </c>
      <c r="N19" s="11" t="s">
        <v>13</v>
      </c>
      <c r="O19" s="11" t="s">
        <v>14</v>
      </c>
      <c r="P19" s="11" t="s">
        <v>11</v>
      </c>
      <c r="Q19" s="11" t="s">
        <v>12</v>
      </c>
      <c r="R19" s="11" t="s">
        <v>13</v>
      </c>
      <c r="S19" s="11" t="s">
        <v>14</v>
      </c>
      <c r="T19" s="11" t="s">
        <v>11</v>
      </c>
      <c r="U19" s="11" t="s">
        <v>12</v>
      </c>
      <c r="V19" s="11" t="s">
        <v>13</v>
      </c>
      <c r="W19" s="11" t="s">
        <v>14</v>
      </c>
      <c r="X19" s="11" t="s">
        <v>14</v>
      </c>
      <c r="Y19" s="11" t="s">
        <v>13</v>
      </c>
      <c r="Z19" s="11" t="s">
        <v>12</v>
      </c>
      <c r="AA19" s="11" t="s">
        <v>11</v>
      </c>
      <c r="AB19" s="11" t="s">
        <v>11</v>
      </c>
      <c r="AC19" s="11" t="s">
        <v>12</v>
      </c>
      <c r="AD19" s="11" t="s">
        <v>13</v>
      </c>
      <c r="AE19" s="11" t="s">
        <v>14</v>
      </c>
      <c r="AF19" s="11" t="s">
        <v>14</v>
      </c>
      <c r="AG19" s="11" t="s">
        <v>13</v>
      </c>
      <c r="AH19" s="11" t="s">
        <v>12</v>
      </c>
      <c r="AI19" s="11" t="s">
        <v>11</v>
      </c>
      <c r="AJ19" s="11" t="s">
        <v>12</v>
      </c>
      <c r="AK19" s="11" t="s">
        <v>11</v>
      </c>
      <c r="AL19" s="11" t="s">
        <v>13</v>
      </c>
      <c r="AM19" s="11" t="s">
        <v>14</v>
      </c>
      <c r="AN19" s="11" t="s">
        <v>12</v>
      </c>
      <c r="AO19" s="11" t="s">
        <v>13</v>
      </c>
      <c r="AP19" s="11" t="s">
        <v>11</v>
      </c>
      <c r="AQ19" s="11" t="s">
        <v>14</v>
      </c>
      <c r="AR19" s="11" t="s">
        <v>14</v>
      </c>
      <c r="AS19" s="11" t="s">
        <v>13</v>
      </c>
      <c r="AT19" s="11" t="s">
        <v>11</v>
      </c>
      <c r="AU19" s="11" t="s">
        <v>11</v>
      </c>
      <c r="AV19" s="11" t="s">
        <v>13</v>
      </c>
      <c r="AW19" s="11" t="s">
        <v>14</v>
      </c>
      <c r="AX19" s="11" t="s">
        <v>14</v>
      </c>
      <c r="AY19" s="11" t="s">
        <v>11</v>
      </c>
      <c r="AZ19" s="11" t="s">
        <v>13</v>
      </c>
      <c r="BA19" s="11" t="s">
        <v>11</v>
      </c>
      <c r="BB19" s="11" t="s">
        <v>13</v>
      </c>
      <c r="BC19" s="11" t="s">
        <v>14</v>
      </c>
      <c r="BD19" s="11" t="s">
        <v>13</v>
      </c>
      <c r="BE19" s="11" t="s">
        <v>11</v>
      </c>
      <c r="BF19" s="11" t="s">
        <v>14</v>
      </c>
      <c r="BG19" s="11" t="s">
        <v>11</v>
      </c>
      <c r="BH19" s="11" t="s">
        <v>14</v>
      </c>
      <c r="BI19" s="11" t="s">
        <v>13</v>
      </c>
      <c r="BJ19" s="11" t="s">
        <v>14</v>
      </c>
      <c r="BK19" s="11" t="s">
        <v>11</v>
      </c>
      <c r="BL19" s="11" t="s">
        <v>13</v>
      </c>
      <c r="BM19" s="11" t="s">
        <v>14</v>
      </c>
      <c r="BN19" s="11" t="s">
        <v>11</v>
      </c>
      <c r="BO19" s="11" t="s">
        <v>13</v>
      </c>
      <c r="BP19" s="11" t="s">
        <v>11</v>
      </c>
      <c r="BQ19" s="11" t="s">
        <v>13</v>
      </c>
      <c r="BR19" s="11" t="s">
        <v>14</v>
      </c>
      <c r="BS19" s="11" t="s">
        <v>11</v>
      </c>
      <c r="BT19" s="11" t="s">
        <v>13</v>
      </c>
      <c r="BU19" s="11" t="s">
        <v>14</v>
      </c>
      <c r="BV19" s="11" t="s">
        <v>19</v>
      </c>
      <c r="BW19" s="13"/>
    </row>
    <row r="20" spans="1:75" ht="40.200000000000003" thickBot="1" x14ac:dyDescent="0.35">
      <c r="A20" s="6">
        <v>46145.960081018522</v>
      </c>
      <c r="B20" s="7" t="s">
        <v>9</v>
      </c>
      <c r="C20" s="7" t="s">
        <v>10</v>
      </c>
      <c r="D20" s="7" t="s">
        <v>13</v>
      </c>
      <c r="E20" s="7" t="s">
        <v>14</v>
      </c>
      <c r="F20" s="7" t="s">
        <v>12</v>
      </c>
      <c r="G20" s="7" t="s">
        <v>13</v>
      </c>
      <c r="H20" s="7" t="s">
        <v>13</v>
      </c>
      <c r="I20" s="7" t="s">
        <v>14</v>
      </c>
      <c r="J20" s="7" t="s">
        <v>11</v>
      </c>
      <c r="K20" s="7" t="s">
        <v>13</v>
      </c>
      <c r="L20" s="7" t="s">
        <v>11</v>
      </c>
      <c r="M20" s="7" t="s">
        <v>11</v>
      </c>
      <c r="N20" s="7" t="s">
        <v>14</v>
      </c>
      <c r="O20" s="7" t="s">
        <v>13</v>
      </c>
      <c r="P20" s="7" t="s">
        <v>13</v>
      </c>
      <c r="Q20" s="7" t="s">
        <v>14</v>
      </c>
      <c r="R20" s="7" t="s">
        <v>14</v>
      </c>
      <c r="S20" s="7" t="s">
        <v>11</v>
      </c>
      <c r="T20" s="7" t="s">
        <v>11</v>
      </c>
      <c r="U20" s="7" t="s">
        <v>14</v>
      </c>
      <c r="V20" s="7" t="s">
        <v>13</v>
      </c>
      <c r="W20" s="7" t="s">
        <v>14</v>
      </c>
      <c r="X20" s="7" t="s">
        <v>14</v>
      </c>
      <c r="Y20" s="7" t="s">
        <v>11</v>
      </c>
      <c r="Z20" s="7" t="s">
        <v>13</v>
      </c>
      <c r="AA20" s="7" t="s">
        <v>14</v>
      </c>
      <c r="AB20" s="7" t="s">
        <v>13</v>
      </c>
      <c r="AC20" s="7" t="s">
        <v>14</v>
      </c>
      <c r="AD20" s="7" t="s">
        <v>11</v>
      </c>
      <c r="AE20" s="7" t="s">
        <v>12</v>
      </c>
      <c r="AF20" s="7" t="s">
        <v>12</v>
      </c>
      <c r="AG20" s="7" t="s">
        <v>14</v>
      </c>
      <c r="AH20" s="7" t="s">
        <v>12</v>
      </c>
      <c r="AI20" s="7" t="s">
        <v>12</v>
      </c>
      <c r="AJ20" s="7" t="s">
        <v>13</v>
      </c>
      <c r="AK20" s="7" t="s">
        <v>12</v>
      </c>
      <c r="AL20" s="7" t="s">
        <v>13</v>
      </c>
      <c r="AM20" s="7" t="s">
        <v>14</v>
      </c>
      <c r="AN20" s="7" t="s">
        <v>12</v>
      </c>
      <c r="AO20" s="7" t="s">
        <v>13</v>
      </c>
      <c r="AP20" s="7" t="s">
        <v>13</v>
      </c>
      <c r="AQ20" s="7" t="s">
        <v>14</v>
      </c>
      <c r="AR20" s="7" t="s">
        <v>14</v>
      </c>
      <c r="AS20" s="7" t="s">
        <v>13</v>
      </c>
      <c r="AT20" s="7" t="s">
        <v>13</v>
      </c>
      <c r="AU20" s="7" t="s">
        <v>13</v>
      </c>
      <c r="AV20" s="7" t="s">
        <v>13</v>
      </c>
      <c r="AW20" s="7" t="s">
        <v>11</v>
      </c>
      <c r="AX20" s="7" t="s">
        <v>11</v>
      </c>
      <c r="AY20" s="7" t="s">
        <v>11</v>
      </c>
      <c r="AZ20" s="7" t="s">
        <v>11</v>
      </c>
      <c r="BA20" s="7" t="s">
        <v>11</v>
      </c>
      <c r="BB20" s="7" t="s">
        <v>11</v>
      </c>
      <c r="BC20" s="7" t="s">
        <v>11</v>
      </c>
      <c r="BD20" s="7" t="s">
        <v>13</v>
      </c>
      <c r="BE20" s="7" t="s">
        <v>11</v>
      </c>
      <c r="BF20" s="7" t="s">
        <v>13</v>
      </c>
      <c r="BG20" s="7" t="s">
        <v>14</v>
      </c>
      <c r="BH20" s="7" t="s">
        <v>14</v>
      </c>
      <c r="BI20" s="7" t="s">
        <v>11</v>
      </c>
      <c r="BJ20" s="7" t="s">
        <v>14</v>
      </c>
      <c r="BK20" s="7" t="s">
        <v>11</v>
      </c>
      <c r="BL20" s="7" t="s">
        <v>13</v>
      </c>
      <c r="BM20" s="7" t="s">
        <v>13</v>
      </c>
      <c r="BN20" s="7" t="s">
        <v>13</v>
      </c>
      <c r="BO20" s="7" t="s">
        <v>11</v>
      </c>
      <c r="BP20" s="7" t="s">
        <v>13</v>
      </c>
      <c r="BQ20" s="7" t="s">
        <v>11</v>
      </c>
      <c r="BR20" s="7" t="s">
        <v>11</v>
      </c>
      <c r="BS20" s="7" t="s">
        <v>11</v>
      </c>
      <c r="BT20" s="7" t="s">
        <v>11</v>
      </c>
      <c r="BU20" s="7" t="s">
        <v>11</v>
      </c>
      <c r="BV20" s="7" t="s">
        <v>20</v>
      </c>
      <c r="BW20" s="9"/>
    </row>
    <row r="21" spans="1:75" ht="79.8" thickBot="1" x14ac:dyDescent="0.35">
      <c r="A21" s="10">
        <v>46146.012013888889</v>
      </c>
      <c r="B21" s="11" t="s">
        <v>9</v>
      </c>
      <c r="C21" s="11" t="s">
        <v>15</v>
      </c>
      <c r="D21" s="11" t="s">
        <v>14</v>
      </c>
      <c r="E21" s="11" t="s">
        <v>12</v>
      </c>
      <c r="F21" s="11" t="s">
        <v>13</v>
      </c>
      <c r="G21" s="11" t="s">
        <v>11</v>
      </c>
      <c r="H21" s="11" t="s">
        <v>12</v>
      </c>
      <c r="I21" s="11" t="s">
        <v>14</v>
      </c>
      <c r="J21" s="11" t="s">
        <v>13</v>
      </c>
      <c r="K21" s="11" t="s">
        <v>11</v>
      </c>
      <c r="L21" s="11" t="s">
        <v>12</v>
      </c>
      <c r="M21" s="11" t="s">
        <v>14</v>
      </c>
      <c r="N21" s="11" t="s">
        <v>13</v>
      </c>
      <c r="O21" s="11" t="s">
        <v>11</v>
      </c>
      <c r="P21" s="11" t="s">
        <v>14</v>
      </c>
      <c r="Q21" s="11" t="s">
        <v>13</v>
      </c>
      <c r="R21" s="11" t="s">
        <v>14</v>
      </c>
      <c r="S21" s="11" t="s">
        <v>12</v>
      </c>
      <c r="T21" s="11" t="s">
        <v>14</v>
      </c>
      <c r="U21" s="11" t="s">
        <v>11</v>
      </c>
      <c r="V21" s="11" t="s">
        <v>12</v>
      </c>
      <c r="W21" s="11" t="s">
        <v>13</v>
      </c>
      <c r="X21" s="11" t="s">
        <v>11</v>
      </c>
      <c r="Y21" s="11" t="s">
        <v>14</v>
      </c>
      <c r="Z21" s="11" t="s">
        <v>13</v>
      </c>
      <c r="AA21" s="11" t="s">
        <v>12</v>
      </c>
      <c r="AB21" s="11" t="s">
        <v>11</v>
      </c>
      <c r="AC21" s="11" t="s">
        <v>12</v>
      </c>
      <c r="AD21" s="11" t="s">
        <v>14</v>
      </c>
      <c r="AE21" s="11" t="s">
        <v>13</v>
      </c>
      <c r="AF21" s="11" t="s">
        <v>12</v>
      </c>
      <c r="AG21" s="11" t="s">
        <v>13</v>
      </c>
      <c r="AH21" s="11" t="s">
        <v>14</v>
      </c>
      <c r="AI21" s="11" t="s">
        <v>11</v>
      </c>
      <c r="AJ21" s="11" t="s">
        <v>11</v>
      </c>
      <c r="AK21" s="11" t="s">
        <v>14</v>
      </c>
      <c r="AL21" s="11" t="s">
        <v>13</v>
      </c>
      <c r="AM21" s="11" t="s">
        <v>12</v>
      </c>
      <c r="AN21" s="11" t="s">
        <v>12</v>
      </c>
      <c r="AO21" s="11" t="s">
        <v>11</v>
      </c>
      <c r="AP21" s="11" t="s">
        <v>13</v>
      </c>
      <c r="AQ21" s="11" t="s">
        <v>14</v>
      </c>
      <c r="AR21" s="11" t="s">
        <v>14</v>
      </c>
      <c r="AS21" s="11" t="s">
        <v>13</v>
      </c>
      <c r="AT21" s="11" t="s">
        <v>11</v>
      </c>
      <c r="AU21" s="11" t="s">
        <v>14</v>
      </c>
      <c r="AV21" s="11" t="s">
        <v>13</v>
      </c>
      <c r="AW21" s="11" t="s">
        <v>11</v>
      </c>
      <c r="AX21" s="11" t="s">
        <v>11</v>
      </c>
      <c r="AY21" s="11" t="s">
        <v>14</v>
      </c>
      <c r="AZ21" s="11" t="s">
        <v>13</v>
      </c>
      <c r="BA21" s="11" t="s">
        <v>11</v>
      </c>
      <c r="BB21" s="11" t="s">
        <v>13</v>
      </c>
      <c r="BC21" s="11" t="s">
        <v>14</v>
      </c>
      <c r="BD21" s="11" t="s">
        <v>14</v>
      </c>
      <c r="BE21" s="11" t="s">
        <v>13</v>
      </c>
      <c r="BF21" s="11" t="s">
        <v>11</v>
      </c>
      <c r="BG21" s="11" t="s">
        <v>14</v>
      </c>
      <c r="BH21" s="11" t="s">
        <v>13</v>
      </c>
      <c r="BI21" s="11" t="s">
        <v>11</v>
      </c>
      <c r="BJ21" s="11" t="s">
        <v>13</v>
      </c>
      <c r="BK21" s="11" t="s">
        <v>14</v>
      </c>
      <c r="BL21" s="11" t="s">
        <v>11</v>
      </c>
      <c r="BM21" s="11" t="s">
        <v>13</v>
      </c>
      <c r="BN21" s="11" t="s">
        <v>14</v>
      </c>
      <c r="BO21" s="11" t="s">
        <v>11</v>
      </c>
      <c r="BP21" s="11" t="s">
        <v>11</v>
      </c>
      <c r="BQ21" s="11" t="s">
        <v>13</v>
      </c>
      <c r="BR21" s="11" t="s">
        <v>14</v>
      </c>
      <c r="BS21" s="11" t="s">
        <v>11</v>
      </c>
      <c r="BT21" s="11" t="s">
        <v>13</v>
      </c>
      <c r="BU21" s="11" t="s">
        <v>14</v>
      </c>
      <c r="BV21" s="11" t="s">
        <v>21</v>
      </c>
      <c r="BW21" s="13"/>
    </row>
    <row r="22" spans="1:75" ht="40.200000000000003" thickBot="1" x14ac:dyDescent="0.35">
      <c r="A22" s="6">
        <v>46146.677118055559</v>
      </c>
      <c r="B22" s="7" t="s">
        <v>9</v>
      </c>
      <c r="C22" s="7" t="s">
        <v>10</v>
      </c>
      <c r="D22" s="7" t="s">
        <v>11</v>
      </c>
      <c r="E22" s="7" t="s">
        <v>12</v>
      </c>
      <c r="F22" s="7" t="s">
        <v>14</v>
      </c>
      <c r="G22" s="7" t="s">
        <v>13</v>
      </c>
      <c r="H22" s="7" t="s">
        <v>11</v>
      </c>
      <c r="I22" s="7" t="s">
        <v>12</v>
      </c>
      <c r="J22" s="7" t="s">
        <v>14</v>
      </c>
      <c r="K22" s="7" t="s">
        <v>13</v>
      </c>
      <c r="L22" s="7" t="s">
        <v>14</v>
      </c>
      <c r="M22" s="7" t="s">
        <v>13</v>
      </c>
      <c r="N22" s="7" t="s">
        <v>11</v>
      </c>
      <c r="O22" s="7" t="s">
        <v>12</v>
      </c>
      <c r="P22" s="7" t="s">
        <v>11</v>
      </c>
      <c r="Q22" s="7" t="s">
        <v>12</v>
      </c>
      <c r="R22" s="7" t="s">
        <v>13</v>
      </c>
      <c r="S22" s="7" t="s">
        <v>14</v>
      </c>
      <c r="T22" s="7" t="s">
        <v>11</v>
      </c>
      <c r="U22" s="7" t="s">
        <v>12</v>
      </c>
      <c r="V22" s="7" t="s">
        <v>13</v>
      </c>
      <c r="W22" s="7" t="s">
        <v>14</v>
      </c>
      <c r="X22" s="7" t="s">
        <v>14</v>
      </c>
      <c r="Y22" s="7" t="s">
        <v>13</v>
      </c>
      <c r="Z22" s="7" t="s">
        <v>12</v>
      </c>
      <c r="AA22" s="7" t="s">
        <v>11</v>
      </c>
      <c r="AB22" s="7" t="s">
        <v>11</v>
      </c>
      <c r="AC22" s="7" t="s">
        <v>12</v>
      </c>
      <c r="AD22" s="7" t="s">
        <v>13</v>
      </c>
      <c r="AE22" s="7" t="s">
        <v>14</v>
      </c>
      <c r="AF22" s="7" t="s">
        <v>11</v>
      </c>
      <c r="AG22" s="7" t="s">
        <v>12</v>
      </c>
      <c r="AH22" s="7" t="s">
        <v>14</v>
      </c>
      <c r="AI22" s="7" t="s">
        <v>13</v>
      </c>
      <c r="AJ22" s="7" t="s">
        <v>14</v>
      </c>
      <c r="AK22" s="7" t="s">
        <v>12</v>
      </c>
      <c r="AL22" s="7" t="s">
        <v>11</v>
      </c>
      <c r="AM22" s="7" t="s">
        <v>13</v>
      </c>
      <c r="AN22" s="7" t="s">
        <v>12</v>
      </c>
      <c r="AO22" s="7" t="s">
        <v>14</v>
      </c>
      <c r="AP22" s="7" t="s">
        <v>13</v>
      </c>
      <c r="AQ22" s="7" t="s">
        <v>11</v>
      </c>
      <c r="AR22" s="7" t="s">
        <v>14</v>
      </c>
      <c r="AS22" s="7" t="s">
        <v>13</v>
      </c>
      <c r="AT22" s="7" t="s">
        <v>11</v>
      </c>
      <c r="AU22" s="7" t="s">
        <v>14</v>
      </c>
      <c r="AV22" s="7" t="s">
        <v>13</v>
      </c>
      <c r="AW22" s="7" t="s">
        <v>11</v>
      </c>
      <c r="AX22" s="7" t="s">
        <v>13</v>
      </c>
      <c r="AY22" s="7" t="s">
        <v>11</v>
      </c>
      <c r="AZ22" s="7" t="s">
        <v>14</v>
      </c>
      <c r="BA22" s="7" t="s">
        <v>11</v>
      </c>
      <c r="BB22" s="7" t="s">
        <v>13</v>
      </c>
      <c r="BC22" s="7" t="s">
        <v>14</v>
      </c>
      <c r="BD22" s="7" t="s">
        <v>14</v>
      </c>
      <c r="BE22" s="7" t="s">
        <v>13</v>
      </c>
      <c r="BF22" s="7" t="s">
        <v>11</v>
      </c>
      <c r="BG22" s="7" t="s">
        <v>13</v>
      </c>
      <c r="BH22" s="7" t="s">
        <v>14</v>
      </c>
      <c r="BI22" s="7" t="s">
        <v>11</v>
      </c>
      <c r="BJ22" s="7" t="s">
        <v>11</v>
      </c>
      <c r="BK22" s="7" t="s">
        <v>13</v>
      </c>
      <c r="BL22" s="7" t="s">
        <v>14</v>
      </c>
      <c r="BM22" s="7" t="s">
        <v>14</v>
      </c>
      <c r="BN22" s="7" t="s">
        <v>13</v>
      </c>
      <c r="BO22" s="7" t="s">
        <v>11</v>
      </c>
      <c r="BP22" s="7" t="s">
        <v>11</v>
      </c>
      <c r="BQ22" s="7" t="s">
        <v>13</v>
      </c>
      <c r="BR22" s="7" t="s">
        <v>14</v>
      </c>
      <c r="BS22" s="7" t="s">
        <v>13</v>
      </c>
      <c r="BT22" s="7" t="s">
        <v>11</v>
      </c>
      <c r="BU22" s="7" t="s">
        <v>14</v>
      </c>
      <c r="BV22" s="7" t="s">
        <v>22</v>
      </c>
      <c r="BW22" s="9"/>
    </row>
    <row r="23" spans="1:75" ht="40.200000000000003" thickBot="1" x14ac:dyDescent="0.35">
      <c r="A23" s="10">
        <v>46147.506388888891</v>
      </c>
      <c r="B23" s="11" t="s">
        <v>23</v>
      </c>
      <c r="C23" s="11" t="s">
        <v>10</v>
      </c>
      <c r="D23" s="11" t="s">
        <v>14</v>
      </c>
      <c r="E23" s="11" t="s">
        <v>13</v>
      </c>
      <c r="F23" s="11" t="s">
        <v>12</v>
      </c>
      <c r="G23" s="11" t="s">
        <v>11</v>
      </c>
      <c r="H23" s="11" t="s">
        <v>11</v>
      </c>
      <c r="I23" s="11" t="s">
        <v>12</v>
      </c>
      <c r="J23" s="11" t="s">
        <v>14</v>
      </c>
      <c r="K23" s="11" t="s">
        <v>13</v>
      </c>
      <c r="L23" s="11" t="s">
        <v>12</v>
      </c>
      <c r="M23" s="11" t="s">
        <v>11</v>
      </c>
      <c r="N23" s="11" t="s">
        <v>13</v>
      </c>
      <c r="O23" s="11" t="s">
        <v>14</v>
      </c>
      <c r="P23" s="11" t="s">
        <v>14</v>
      </c>
      <c r="Q23" s="11" t="s">
        <v>11</v>
      </c>
      <c r="R23" s="11" t="s">
        <v>12</v>
      </c>
      <c r="S23" s="11" t="s">
        <v>12</v>
      </c>
      <c r="T23" s="11" t="s">
        <v>11</v>
      </c>
      <c r="U23" s="11" t="s">
        <v>12</v>
      </c>
      <c r="V23" s="11" t="s">
        <v>14</v>
      </c>
      <c r="W23" s="11" t="s">
        <v>13</v>
      </c>
      <c r="X23" s="11" t="s">
        <v>11</v>
      </c>
      <c r="Y23" s="11" t="s">
        <v>13</v>
      </c>
      <c r="Z23" s="11" t="s">
        <v>14</v>
      </c>
      <c r="AA23" s="11" t="s">
        <v>12</v>
      </c>
      <c r="AB23" s="11" t="s">
        <v>12</v>
      </c>
      <c r="AC23" s="11" t="s">
        <v>11</v>
      </c>
      <c r="AD23" s="11" t="s">
        <v>13</v>
      </c>
      <c r="AE23" s="11" t="s">
        <v>14</v>
      </c>
      <c r="AF23" s="11" t="s">
        <v>12</v>
      </c>
      <c r="AG23" s="11" t="s">
        <v>11</v>
      </c>
      <c r="AH23" s="11" t="s">
        <v>13</v>
      </c>
      <c r="AI23" s="11" t="s">
        <v>14</v>
      </c>
      <c r="AJ23" s="11" t="s">
        <v>11</v>
      </c>
      <c r="AK23" s="11" t="s">
        <v>14</v>
      </c>
      <c r="AL23" s="11" t="s">
        <v>12</v>
      </c>
      <c r="AM23" s="11" t="s">
        <v>13</v>
      </c>
      <c r="AN23" s="11" t="s">
        <v>12</v>
      </c>
      <c r="AO23" s="11" t="s">
        <v>14</v>
      </c>
      <c r="AP23" s="11" t="s">
        <v>13</v>
      </c>
      <c r="AQ23" s="11" t="s">
        <v>11</v>
      </c>
      <c r="AR23" s="11" t="s">
        <v>14</v>
      </c>
      <c r="AS23" s="11" t="s">
        <v>13</v>
      </c>
      <c r="AT23" s="11" t="s">
        <v>11</v>
      </c>
      <c r="AU23" s="11" t="s">
        <v>14</v>
      </c>
      <c r="AV23" s="11" t="s">
        <v>13</v>
      </c>
      <c r="AW23" s="11" t="s">
        <v>11</v>
      </c>
      <c r="AX23" s="11" t="s">
        <v>13</v>
      </c>
      <c r="AY23" s="11" t="s">
        <v>11</v>
      </c>
      <c r="AZ23" s="11" t="s">
        <v>14</v>
      </c>
      <c r="BA23" s="11" t="s">
        <v>14</v>
      </c>
      <c r="BB23" s="11" t="s">
        <v>13</v>
      </c>
      <c r="BC23" s="11" t="s">
        <v>11</v>
      </c>
      <c r="BD23" s="11" t="s">
        <v>13</v>
      </c>
      <c r="BE23" s="11" t="s">
        <v>14</v>
      </c>
      <c r="BF23" s="11" t="s">
        <v>11</v>
      </c>
      <c r="BG23" s="11" t="s">
        <v>14</v>
      </c>
      <c r="BH23" s="11" t="s">
        <v>13</v>
      </c>
      <c r="BI23" s="11" t="s">
        <v>11</v>
      </c>
      <c r="BJ23" s="11" t="s">
        <v>14</v>
      </c>
      <c r="BK23" s="11" t="s">
        <v>13</v>
      </c>
      <c r="BL23" s="11" t="s">
        <v>11</v>
      </c>
      <c r="BM23" s="11" t="s">
        <v>13</v>
      </c>
      <c r="BN23" s="11" t="s">
        <v>11</v>
      </c>
      <c r="BO23" s="11" t="s">
        <v>14</v>
      </c>
      <c r="BP23" s="11" t="s">
        <v>14</v>
      </c>
      <c r="BQ23" s="11" t="s">
        <v>11</v>
      </c>
      <c r="BR23" s="11" t="s">
        <v>13</v>
      </c>
      <c r="BS23" s="11" t="s">
        <v>11</v>
      </c>
      <c r="BT23" s="11" t="s">
        <v>13</v>
      </c>
      <c r="BU23" s="11" t="s">
        <v>14</v>
      </c>
      <c r="BV23" s="11" t="s">
        <v>24</v>
      </c>
      <c r="BW23" s="13"/>
    </row>
    <row r="24" spans="1:75" ht="40.200000000000003" thickBot="1" x14ac:dyDescent="0.35">
      <c r="A24" s="6">
        <v>46147.516238425924</v>
      </c>
      <c r="B24" s="7" t="s">
        <v>25</v>
      </c>
      <c r="C24" s="7" t="s">
        <v>10</v>
      </c>
      <c r="D24" s="7" t="s">
        <v>13</v>
      </c>
      <c r="E24" s="7" t="s">
        <v>12</v>
      </c>
      <c r="F24" s="7" t="s">
        <v>11</v>
      </c>
      <c r="G24" s="7" t="s">
        <v>14</v>
      </c>
      <c r="H24" s="7" t="s">
        <v>13</v>
      </c>
      <c r="I24" s="7" t="s">
        <v>14</v>
      </c>
      <c r="J24" s="7" t="s">
        <v>12</v>
      </c>
      <c r="K24" s="7" t="s">
        <v>11</v>
      </c>
      <c r="L24" s="7" t="s">
        <v>13</v>
      </c>
      <c r="M24" s="7" t="s">
        <v>14</v>
      </c>
      <c r="N24" s="7" t="s">
        <v>12</v>
      </c>
      <c r="O24" s="7" t="s">
        <v>11</v>
      </c>
      <c r="P24" s="7" t="s">
        <v>11</v>
      </c>
      <c r="Q24" s="7" t="s">
        <v>12</v>
      </c>
      <c r="R24" s="7" t="s">
        <v>14</v>
      </c>
      <c r="S24" s="7" t="s">
        <v>13</v>
      </c>
      <c r="T24" s="7" t="s">
        <v>11</v>
      </c>
      <c r="U24" s="7" t="s">
        <v>12</v>
      </c>
      <c r="V24" s="7" t="s">
        <v>13</v>
      </c>
      <c r="W24" s="7" t="s">
        <v>14</v>
      </c>
      <c r="X24" s="7" t="s">
        <v>14</v>
      </c>
      <c r="Y24" s="7" t="s">
        <v>13</v>
      </c>
      <c r="Z24" s="7" t="s">
        <v>12</v>
      </c>
      <c r="AA24" s="7" t="s">
        <v>11</v>
      </c>
      <c r="AB24" s="7" t="s">
        <v>11</v>
      </c>
      <c r="AC24" s="7" t="s">
        <v>12</v>
      </c>
      <c r="AD24" s="7" t="s">
        <v>13</v>
      </c>
      <c r="AE24" s="7" t="s">
        <v>14</v>
      </c>
      <c r="AF24" s="7" t="s">
        <v>13</v>
      </c>
      <c r="AG24" s="7" t="s">
        <v>14</v>
      </c>
      <c r="AH24" s="7" t="s">
        <v>12</v>
      </c>
      <c r="AI24" s="7" t="s">
        <v>11</v>
      </c>
      <c r="AJ24" s="7" t="s">
        <v>11</v>
      </c>
      <c r="AK24" s="7" t="s">
        <v>12</v>
      </c>
      <c r="AL24" s="7" t="s">
        <v>14</v>
      </c>
      <c r="AM24" s="7" t="s">
        <v>13</v>
      </c>
      <c r="AN24" s="7" t="s">
        <v>12</v>
      </c>
      <c r="AO24" s="7" t="s">
        <v>13</v>
      </c>
      <c r="AP24" s="7" t="s">
        <v>14</v>
      </c>
      <c r="AQ24" s="7" t="s">
        <v>11</v>
      </c>
      <c r="AR24" s="7" t="s">
        <v>14</v>
      </c>
      <c r="AS24" s="7" t="s">
        <v>11</v>
      </c>
      <c r="AT24" s="7" t="s">
        <v>13</v>
      </c>
      <c r="AU24" s="7" t="s">
        <v>14</v>
      </c>
      <c r="AV24" s="7" t="s">
        <v>13</v>
      </c>
      <c r="AW24" s="7" t="s">
        <v>11</v>
      </c>
      <c r="AX24" s="7" t="s">
        <v>14</v>
      </c>
      <c r="AY24" s="7" t="s">
        <v>11</v>
      </c>
      <c r="AZ24" s="7" t="s">
        <v>13</v>
      </c>
      <c r="BA24" s="7" t="s">
        <v>11</v>
      </c>
      <c r="BB24" s="7" t="s">
        <v>13</v>
      </c>
      <c r="BC24" s="7" t="s">
        <v>14</v>
      </c>
      <c r="BD24" s="7" t="s">
        <v>14</v>
      </c>
      <c r="BE24" s="7" t="s">
        <v>13</v>
      </c>
      <c r="BF24" s="7" t="s">
        <v>11</v>
      </c>
      <c r="BG24" s="7" t="s">
        <v>11</v>
      </c>
      <c r="BH24" s="7" t="s">
        <v>14</v>
      </c>
      <c r="BI24" s="7" t="s">
        <v>13</v>
      </c>
      <c r="BJ24" s="7" t="s">
        <v>13</v>
      </c>
      <c r="BK24" s="7" t="s">
        <v>11</v>
      </c>
      <c r="BL24" s="7" t="s">
        <v>14</v>
      </c>
      <c r="BM24" s="7" t="s">
        <v>13</v>
      </c>
      <c r="BN24" s="7" t="s">
        <v>11</v>
      </c>
      <c r="BO24" s="7" t="s">
        <v>14</v>
      </c>
      <c r="BP24" s="7" t="s">
        <v>11</v>
      </c>
      <c r="BQ24" s="7" t="s">
        <v>13</v>
      </c>
      <c r="BR24" s="7" t="s">
        <v>14</v>
      </c>
      <c r="BS24" s="7" t="s">
        <v>13</v>
      </c>
      <c r="BT24" s="7" t="s">
        <v>11</v>
      </c>
      <c r="BU24" s="7" t="s">
        <v>14</v>
      </c>
      <c r="BV24" s="7" t="s">
        <v>26</v>
      </c>
      <c r="BW24" s="9"/>
    </row>
    <row r="25" spans="1:75" ht="66.599999999999994" thickBot="1" x14ac:dyDescent="0.35">
      <c r="A25" s="10">
        <v>46147.531689814816</v>
      </c>
      <c r="B25" s="11" t="s">
        <v>9</v>
      </c>
      <c r="C25" s="11" t="s">
        <v>16</v>
      </c>
      <c r="D25" s="11" t="s">
        <v>13</v>
      </c>
      <c r="E25" s="11" t="s">
        <v>12</v>
      </c>
      <c r="F25" s="11" t="s">
        <v>11</v>
      </c>
      <c r="G25" s="11" t="s">
        <v>14</v>
      </c>
      <c r="H25" s="11" t="s">
        <v>13</v>
      </c>
      <c r="I25" s="11" t="s">
        <v>14</v>
      </c>
      <c r="J25" s="11" t="s">
        <v>12</v>
      </c>
      <c r="K25" s="11" t="s">
        <v>11</v>
      </c>
      <c r="L25" s="11" t="s">
        <v>14</v>
      </c>
      <c r="M25" s="11" t="s">
        <v>13</v>
      </c>
      <c r="N25" s="11" t="s">
        <v>11</v>
      </c>
      <c r="O25" s="11" t="s">
        <v>12</v>
      </c>
      <c r="P25" s="11" t="s">
        <v>11</v>
      </c>
      <c r="Q25" s="11" t="s">
        <v>12</v>
      </c>
      <c r="R25" s="11" t="s">
        <v>13</v>
      </c>
      <c r="S25" s="11" t="s">
        <v>14</v>
      </c>
      <c r="T25" s="11" t="s">
        <v>11</v>
      </c>
      <c r="U25" s="11" t="s">
        <v>12</v>
      </c>
      <c r="V25" s="11" t="s">
        <v>13</v>
      </c>
      <c r="W25" s="11" t="s">
        <v>14</v>
      </c>
      <c r="X25" s="11" t="s">
        <v>14</v>
      </c>
      <c r="Y25" s="11" t="s">
        <v>11</v>
      </c>
      <c r="Z25" s="11" t="s">
        <v>12</v>
      </c>
      <c r="AA25" s="11" t="s">
        <v>13</v>
      </c>
      <c r="AB25" s="11" t="s">
        <v>13</v>
      </c>
      <c r="AC25" s="11" t="s">
        <v>12</v>
      </c>
      <c r="AD25" s="11" t="s">
        <v>11</v>
      </c>
      <c r="AE25" s="11" t="s">
        <v>14</v>
      </c>
      <c r="AF25" s="11" t="s">
        <v>14</v>
      </c>
      <c r="AG25" s="11" t="s">
        <v>13</v>
      </c>
      <c r="AH25" s="11" t="s">
        <v>12</v>
      </c>
      <c r="AI25" s="11" t="s">
        <v>11</v>
      </c>
      <c r="AJ25" s="11" t="s">
        <v>11</v>
      </c>
      <c r="AK25" s="11" t="s">
        <v>12</v>
      </c>
      <c r="AL25" s="11" t="s">
        <v>14</v>
      </c>
      <c r="AM25" s="11" t="s">
        <v>13</v>
      </c>
      <c r="AN25" s="11" t="s">
        <v>13</v>
      </c>
      <c r="AO25" s="11" t="s">
        <v>12</v>
      </c>
      <c r="AP25" s="11" t="s">
        <v>14</v>
      </c>
      <c r="AQ25" s="11" t="s">
        <v>11</v>
      </c>
      <c r="AR25" s="11" t="s">
        <v>14</v>
      </c>
      <c r="AS25" s="11" t="s">
        <v>13</v>
      </c>
      <c r="AT25" s="11" t="s">
        <v>11</v>
      </c>
      <c r="AU25" s="11" t="s">
        <v>14</v>
      </c>
      <c r="AV25" s="11" t="s">
        <v>13</v>
      </c>
      <c r="AW25" s="11" t="s">
        <v>11</v>
      </c>
      <c r="AX25" s="11" t="s">
        <v>14</v>
      </c>
      <c r="AY25" s="11" t="s">
        <v>11</v>
      </c>
      <c r="AZ25" s="11" t="s">
        <v>13</v>
      </c>
      <c r="BA25" s="11" t="s">
        <v>11</v>
      </c>
      <c r="BB25" s="11" t="s">
        <v>13</v>
      </c>
      <c r="BC25" s="11" t="s">
        <v>14</v>
      </c>
      <c r="BD25" s="11" t="s">
        <v>14</v>
      </c>
      <c r="BE25" s="11" t="s">
        <v>13</v>
      </c>
      <c r="BF25" s="11" t="s">
        <v>11</v>
      </c>
      <c r="BG25" s="11" t="s">
        <v>11</v>
      </c>
      <c r="BH25" s="11" t="s">
        <v>14</v>
      </c>
      <c r="BI25" s="11" t="s">
        <v>13</v>
      </c>
      <c r="BJ25" s="11" t="s">
        <v>14</v>
      </c>
      <c r="BK25" s="11" t="s">
        <v>11</v>
      </c>
      <c r="BL25" s="11" t="s">
        <v>13</v>
      </c>
      <c r="BM25" s="11" t="s">
        <v>14</v>
      </c>
      <c r="BN25" s="11" t="s">
        <v>11</v>
      </c>
      <c r="BO25" s="11" t="s">
        <v>13</v>
      </c>
      <c r="BP25" s="11" t="s">
        <v>11</v>
      </c>
      <c r="BQ25" s="11" t="s">
        <v>13</v>
      </c>
      <c r="BR25" s="11" t="s">
        <v>14</v>
      </c>
      <c r="BS25" s="11" t="s">
        <v>11</v>
      </c>
      <c r="BT25" s="11" t="s">
        <v>13</v>
      </c>
      <c r="BU25" s="11" t="s">
        <v>14</v>
      </c>
      <c r="BV25" s="11" t="s">
        <v>27</v>
      </c>
      <c r="BW25" s="13"/>
    </row>
    <row r="26" spans="1:75" ht="40.200000000000003" thickBot="1" x14ac:dyDescent="0.35">
      <c r="A26" s="6">
        <v>46147.539988425924</v>
      </c>
      <c r="B26" s="7" t="s">
        <v>23</v>
      </c>
      <c r="C26" s="7" t="s">
        <v>10</v>
      </c>
      <c r="D26" s="7" t="s">
        <v>13</v>
      </c>
      <c r="E26" s="7" t="s">
        <v>12</v>
      </c>
      <c r="F26" s="7" t="s">
        <v>11</v>
      </c>
      <c r="G26" s="7" t="s">
        <v>14</v>
      </c>
      <c r="H26" s="7" t="s">
        <v>11</v>
      </c>
      <c r="I26" s="7" t="s">
        <v>14</v>
      </c>
      <c r="J26" s="7" t="s">
        <v>12</v>
      </c>
      <c r="K26" s="7" t="s">
        <v>13</v>
      </c>
      <c r="L26" s="7" t="s">
        <v>12</v>
      </c>
      <c r="M26" s="7" t="s">
        <v>13</v>
      </c>
      <c r="N26" s="7" t="s">
        <v>14</v>
      </c>
      <c r="O26" s="7" t="s">
        <v>11</v>
      </c>
      <c r="P26" s="7" t="s">
        <v>11</v>
      </c>
      <c r="Q26" s="7" t="s">
        <v>12</v>
      </c>
      <c r="R26" s="7" t="s">
        <v>13</v>
      </c>
      <c r="S26" s="7" t="s">
        <v>14</v>
      </c>
      <c r="T26" s="7" t="s">
        <v>14</v>
      </c>
      <c r="U26" s="7" t="s">
        <v>12</v>
      </c>
      <c r="V26" s="7" t="s">
        <v>13</v>
      </c>
      <c r="W26" s="7" t="s">
        <v>11</v>
      </c>
      <c r="X26" s="7" t="s">
        <v>11</v>
      </c>
      <c r="Y26" s="7" t="s">
        <v>12</v>
      </c>
      <c r="Z26" s="7" t="s">
        <v>14</v>
      </c>
      <c r="AA26" s="7" t="s">
        <v>13</v>
      </c>
      <c r="AB26" s="7" t="s">
        <v>13</v>
      </c>
      <c r="AC26" s="7" t="s">
        <v>12</v>
      </c>
      <c r="AD26" s="7" t="s">
        <v>11</v>
      </c>
      <c r="AE26" s="7" t="s">
        <v>14</v>
      </c>
      <c r="AF26" s="7" t="s">
        <v>14</v>
      </c>
      <c r="AG26" s="7" t="s">
        <v>13</v>
      </c>
      <c r="AH26" s="7" t="s">
        <v>12</v>
      </c>
      <c r="AI26" s="7" t="s">
        <v>11</v>
      </c>
      <c r="AJ26" s="7" t="s">
        <v>11</v>
      </c>
      <c r="AK26" s="7" t="s">
        <v>14</v>
      </c>
      <c r="AL26" s="7" t="s">
        <v>12</v>
      </c>
      <c r="AM26" s="7" t="s">
        <v>13</v>
      </c>
      <c r="AN26" s="7" t="s">
        <v>13</v>
      </c>
      <c r="AO26" s="7" t="s">
        <v>14</v>
      </c>
      <c r="AP26" s="7" t="s">
        <v>12</v>
      </c>
      <c r="AQ26" s="7" t="s">
        <v>11</v>
      </c>
      <c r="AR26" s="7" t="s">
        <v>14</v>
      </c>
      <c r="AS26" s="7" t="s">
        <v>13</v>
      </c>
      <c r="AT26" s="7" t="s">
        <v>11</v>
      </c>
      <c r="AU26" s="7" t="s">
        <v>14</v>
      </c>
      <c r="AV26" s="7" t="s">
        <v>13</v>
      </c>
      <c r="AW26" s="7" t="s">
        <v>11</v>
      </c>
      <c r="AX26" s="7" t="s">
        <v>13</v>
      </c>
      <c r="AY26" s="7" t="s">
        <v>11</v>
      </c>
      <c r="AZ26" s="7" t="s">
        <v>14</v>
      </c>
      <c r="BA26" s="7" t="s">
        <v>11</v>
      </c>
      <c r="BB26" s="7" t="s">
        <v>13</v>
      </c>
      <c r="BC26" s="7" t="s">
        <v>14</v>
      </c>
      <c r="BD26" s="7" t="s">
        <v>14</v>
      </c>
      <c r="BE26" s="7" t="s">
        <v>13</v>
      </c>
      <c r="BF26" s="7" t="s">
        <v>11</v>
      </c>
      <c r="BG26" s="7" t="s">
        <v>13</v>
      </c>
      <c r="BH26" s="7" t="s">
        <v>14</v>
      </c>
      <c r="BI26" s="7" t="s">
        <v>11</v>
      </c>
      <c r="BJ26" s="7" t="s">
        <v>14</v>
      </c>
      <c r="BK26" s="7" t="s">
        <v>11</v>
      </c>
      <c r="BL26" s="7" t="s">
        <v>13</v>
      </c>
      <c r="BM26" s="7" t="s">
        <v>14</v>
      </c>
      <c r="BN26" s="7" t="s">
        <v>11</v>
      </c>
      <c r="BO26" s="7" t="s">
        <v>13</v>
      </c>
      <c r="BP26" s="7" t="s">
        <v>13</v>
      </c>
      <c r="BQ26" s="7" t="s">
        <v>14</v>
      </c>
      <c r="BR26" s="7" t="s">
        <v>11</v>
      </c>
      <c r="BS26" s="7" t="s">
        <v>13</v>
      </c>
      <c r="BT26" s="7" t="s">
        <v>11</v>
      </c>
      <c r="BU26" s="7" t="s">
        <v>14</v>
      </c>
      <c r="BV26" s="7" t="s">
        <v>28</v>
      </c>
      <c r="BW26" s="9"/>
    </row>
    <row r="27" spans="1:75" ht="40.200000000000003" thickBot="1" x14ac:dyDescent="0.35">
      <c r="A27" s="10">
        <v>46147.545787037037</v>
      </c>
      <c r="B27" s="11" t="s">
        <v>25</v>
      </c>
      <c r="C27" s="11" t="s">
        <v>10</v>
      </c>
      <c r="D27" s="11" t="s">
        <v>12</v>
      </c>
      <c r="E27" s="11" t="s">
        <v>12</v>
      </c>
      <c r="F27" s="11" t="s">
        <v>12</v>
      </c>
      <c r="G27" s="11" t="s">
        <v>12</v>
      </c>
      <c r="H27" s="11" t="s">
        <v>11</v>
      </c>
      <c r="I27" s="11" t="s">
        <v>12</v>
      </c>
      <c r="J27" s="11" t="s">
        <v>12</v>
      </c>
      <c r="K27" s="11" t="s">
        <v>14</v>
      </c>
      <c r="L27" s="11" t="s">
        <v>14</v>
      </c>
      <c r="M27" s="11" t="s">
        <v>11</v>
      </c>
      <c r="N27" s="11" t="s">
        <v>14</v>
      </c>
      <c r="O27" s="11" t="s">
        <v>11</v>
      </c>
      <c r="P27" s="11" t="s">
        <v>11</v>
      </c>
      <c r="Q27" s="11" t="s">
        <v>12</v>
      </c>
      <c r="R27" s="11" t="s">
        <v>13</v>
      </c>
      <c r="S27" s="11" t="s">
        <v>14</v>
      </c>
      <c r="T27" s="11" t="s">
        <v>11</v>
      </c>
      <c r="U27" s="11" t="s">
        <v>13</v>
      </c>
      <c r="V27" s="11" t="s">
        <v>14</v>
      </c>
      <c r="W27" s="11" t="s">
        <v>12</v>
      </c>
      <c r="X27" s="11" t="s">
        <v>11</v>
      </c>
      <c r="Y27" s="11" t="s">
        <v>12</v>
      </c>
      <c r="Z27" s="11" t="s">
        <v>12</v>
      </c>
      <c r="AA27" s="11" t="s">
        <v>12</v>
      </c>
      <c r="AB27" s="11" t="s">
        <v>12</v>
      </c>
      <c r="AC27" s="11" t="s">
        <v>12</v>
      </c>
      <c r="AD27" s="11" t="s">
        <v>12</v>
      </c>
      <c r="AE27" s="11" t="s">
        <v>12</v>
      </c>
      <c r="AF27" s="11" t="s">
        <v>12</v>
      </c>
      <c r="AG27" s="11" t="s">
        <v>12</v>
      </c>
      <c r="AH27" s="11" t="s">
        <v>12</v>
      </c>
      <c r="AI27" s="11" t="s">
        <v>11</v>
      </c>
      <c r="AJ27" s="11" t="s">
        <v>11</v>
      </c>
      <c r="AK27" s="11" t="s">
        <v>12</v>
      </c>
      <c r="AL27" s="11" t="s">
        <v>14</v>
      </c>
      <c r="AM27" s="11" t="s">
        <v>13</v>
      </c>
      <c r="AN27" s="11" t="s">
        <v>13</v>
      </c>
      <c r="AO27" s="11" t="s">
        <v>13</v>
      </c>
      <c r="AP27" s="11" t="s">
        <v>13</v>
      </c>
      <c r="AQ27" s="11" t="s">
        <v>11</v>
      </c>
      <c r="AR27" s="11" t="s">
        <v>14</v>
      </c>
      <c r="AS27" s="11" t="s">
        <v>13</v>
      </c>
      <c r="AT27" s="11" t="s">
        <v>11</v>
      </c>
      <c r="AU27" s="11" t="s">
        <v>14</v>
      </c>
      <c r="AV27" s="11" t="s">
        <v>14</v>
      </c>
      <c r="AW27" s="11" t="s">
        <v>11</v>
      </c>
      <c r="AX27" s="11" t="s">
        <v>13</v>
      </c>
      <c r="AY27" s="11" t="s">
        <v>11</v>
      </c>
      <c r="AZ27" s="11" t="s">
        <v>14</v>
      </c>
      <c r="BA27" s="11" t="s">
        <v>11</v>
      </c>
      <c r="BB27" s="11" t="s">
        <v>13</v>
      </c>
      <c r="BC27" s="11" t="s">
        <v>14</v>
      </c>
      <c r="BD27" s="11" t="s">
        <v>14</v>
      </c>
      <c r="BE27" s="11" t="s">
        <v>14</v>
      </c>
      <c r="BF27" s="11" t="s">
        <v>11</v>
      </c>
      <c r="BG27" s="11" t="s">
        <v>11</v>
      </c>
      <c r="BH27" s="11" t="s">
        <v>13</v>
      </c>
      <c r="BI27" s="11" t="s">
        <v>14</v>
      </c>
      <c r="BJ27" s="11" t="s">
        <v>14</v>
      </c>
      <c r="BK27" s="11" t="s">
        <v>13</v>
      </c>
      <c r="BL27" s="11" t="s">
        <v>11</v>
      </c>
      <c r="BM27" s="11" t="s">
        <v>14</v>
      </c>
      <c r="BN27" s="11" t="s">
        <v>11</v>
      </c>
      <c r="BO27" s="11" t="s">
        <v>14</v>
      </c>
      <c r="BP27" s="11" t="s">
        <v>11</v>
      </c>
      <c r="BQ27" s="11" t="s">
        <v>13</v>
      </c>
      <c r="BR27" s="11" t="s">
        <v>14</v>
      </c>
      <c r="BS27" s="11" t="s">
        <v>11</v>
      </c>
      <c r="BT27" s="11" t="s">
        <v>13</v>
      </c>
      <c r="BU27" s="11" t="s">
        <v>14</v>
      </c>
      <c r="BV27" s="11" t="s">
        <v>29</v>
      </c>
      <c r="BW27" s="13"/>
    </row>
    <row r="28" spans="1:75" ht="53.4" thickBot="1" x14ac:dyDescent="0.35">
      <c r="A28" s="6">
        <v>46147.546284722222</v>
      </c>
      <c r="B28" s="7" t="s">
        <v>25</v>
      </c>
      <c r="C28" s="7" t="s">
        <v>10</v>
      </c>
      <c r="D28" s="7" t="s">
        <v>13</v>
      </c>
      <c r="E28" s="7" t="s">
        <v>14</v>
      </c>
      <c r="F28" s="7" t="s">
        <v>11</v>
      </c>
      <c r="G28" s="7" t="s">
        <v>12</v>
      </c>
      <c r="H28" s="7" t="s">
        <v>13</v>
      </c>
      <c r="I28" s="7" t="s">
        <v>12</v>
      </c>
      <c r="J28" s="7" t="s">
        <v>14</v>
      </c>
      <c r="K28" s="7" t="s">
        <v>11</v>
      </c>
      <c r="L28" s="7" t="s">
        <v>12</v>
      </c>
      <c r="M28" s="7" t="s">
        <v>13</v>
      </c>
      <c r="N28" s="7" t="s">
        <v>14</v>
      </c>
      <c r="O28" s="7" t="s">
        <v>11</v>
      </c>
      <c r="P28" s="7" t="s">
        <v>11</v>
      </c>
      <c r="Q28" s="7" t="s">
        <v>14</v>
      </c>
      <c r="R28" s="7" t="s">
        <v>13</v>
      </c>
      <c r="S28" s="7" t="s">
        <v>12</v>
      </c>
      <c r="T28" s="7" t="s">
        <v>11</v>
      </c>
      <c r="U28" s="7" t="s">
        <v>12</v>
      </c>
      <c r="V28" s="7" t="s">
        <v>14</v>
      </c>
      <c r="W28" s="7" t="s">
        <v>13</v>
      </c>
      <c r="X28" s="7" t="s">
        <v>11</v>
      </c>
      <c r="Y28" s="7" t="s">
        <v>14</v>
      </c>
      <c r="Z28" s="7" t="s">
        <v>13</v>
      </c>
      <c r="AA28" s="7" t="s">
        <v>12</v>
      </c>
      <c r="AB28" s="7" t="s">
        <v>12</v>
      </c>
      <c r="AC28" s="7" t="s">
        <v>13</v>
      </c>
      <c r="AD28" s="7" t="s">
        <v>11</v>
      </c>
      <c r="AE28" s="7" t="s">
        <v>14</v>
      </c>
      <c r="AF28" s="7" t="s">
        <v>14</v>
      </c>
      <c r="AG28" s="7" t="s">
        <v>11</v>
      </c>
      <c r="AH28" s="7" t="s">
        <v>13</v>
      </c>
      <c r="AI28" s="7" t="s">
        <v>12</v>
      </c>
      <c r="AJ28" s="7" t="s">
        <v>13</v>
      </c>
      <c r="AK28" s="7" t="s">
        <v>12</v>
      </c>
      <c r="AL28" s="7" t="s">
        <v>11</v>
      </c>
      <c r="AM28" s="7" t="s">
        <v>14</v>
      </c>
      <c r="AN28" s="7" t="s">
        <v>12</v>
      </c>
      <c r="AO28" s="7" t="s">
        <v>14</v>
      </c>
      <c r="AP28" s="7" t="s">
        <v>11</v>
      </c>
      <c r="AQ28" s="7" t="s">
        <v>13</v>
      </c>
      <c r="AR28" s="7" t="s">
        <v>14</v>
      </c>
      <c r="AS28" s="7" t="s">
        <v>11</v>
      </c>
      <c r="AT28" s="7" t="s">
        <v>13</v>
      </c>
      <c r="AU28" s="7" t="s">
        <v>13</v>
      </c>
      <c r="AV28" s="7" t="s">
        <v>11</v>
      </c>
      <c r="AW28" s="7" t="s">
        <v>14</v>
      </c>
      <c r="AX28" s="7" t="s">
        <v>14</v>
      </c>
      <c r="AY28" s="7" t="s">
        <v>11</v>
      </c>
      <c r="AZ28" s="7" t="s">
        <v>13</v>
      </c>
      <c r="BA28" s="7" t="s">
        <v>11</v>
      </c>
      <c r="BB28" s="7" t="s">
        <v>13</v>
      </c>
      <c r="BC28" s="7" t="s">
        <v>14</v>
      </c>
      <c r="BD28" s="7" t="s">
        <v>14</v>
      </c>
      <c r="BE28" s="7" t="s">
        <v>13</v>
      </c>
      <c r="BF28" s="7" t="s">
        <v>11</v>
      </c>
      <c r="BG28" s="7" t="s">
        <v>11</v>
      </c>
      <c r="BH28" s="7" t="s">
        <v>14</v>
      </c>
      <c r="BI28" s="7" t="s">
        <v>13</v>
      </c>
      <c r="BJ28" s="7" t="s">
        <v>13</v>
      </c>
      <c r="BK28" s="7" t="s">
        <v>11</v>
      </c>
      <c r="BL28" s="7" t="s">
        <v>14</v>
      </c>
      <c r="BM28" s="7" t="s">
        <v>11</v>
      </c>
      <c r="BN28" s="7" t="s">
        <v>13</v>
      </c>
      <c r="BO28" s="7" t="s">
        <v>14</v>
      </c>
      <c r="BP28" s="7" t="s">
        <v>11</v>
      </c>
      <c r="BQ28" s="7" t="s">
        <v>14</v>
      </c>
      <c r="BR28" s="7" t="s">
        <v>13</v>
      </c>
      <c r="BS28" s="7" t="s">
        <v>11</v>
      </c>
      <c r="BT28" s="7" t="s">
        <v>13</v>
      </c>
      <c r="BU28" s="7" t="s">
        <v>14</v>
      </c>
      <c r="BV28" s="7" t="s">
        <v>30</v>
      </c>
      <c r="BW28" s="9"/>
    </row>
    <row r="29" spans="1:75" ht="53.4" thickBot="1" x14ac:dyDescent="0.35">
      <c r="A29" s="10">
        <v>46147.554826388892</v>
      </c>
      <c r="B29" s="11" t="s">
        <v>23</v>
      </c>
      <c r="C29" s="11" t="s">
        <v>10</v>
      </c>
      <c r="D29" s="11" t="s">
        <v>13</v>
      </c>
      <c r="E29" s="11" t="s">
        <v>11</v>
      </c>
      <c r="F29" s="11" t="s">
        <v>12</v>
      </c>
      <c r="G29" s="11" t="s">
        <v>14</v>
      </c>
      <c r="H29" s="11" t="s">
        <v>11</v>
      </c>
      <c r="I29" s="11" t="s">
        <v>12</v>
      </c>
      <c r="J29" s="11" t="s">
        <v>14</v>
      </c>
      <c r="K29" s="11" t="s">
        <v>13</v>
      </c>
      <c r="L29" s="11" t="s">
        <v>12</v>
      </c>
      <c r="M29" s="11" t="s">
        <v>11</v>
      </c>
      <c r="N29" s="11" t="s">
        <v>13</v>
      </c>
      <c r="O29" s="11" t="s">
        <v>14</v>
      </c>
      <c r="P29" s="11" t="s">
        <v>14</v>
      </c>
      <c r="Q29" s="11" t="s">
        <v>11</v>
      </c>
      <c r="R29" s="11" t="s">
        <v>12</v>
      </c>
      <c r="S29" s="11" t="s">
        <v>13</v>
      </c>
      <c r="T29" s="11" t="s">
        <v>13</v>
      </c>
      <c r="U29" s="11" t="s">
        <v>11</v>
      </c>
      <c r="V29" s="11" t="s">
        <v>14</v>
      </c>
      <c r="W29" s="11" t="s">
        <v>12</v>
      </c>
      <c r="X29" s="11" t="s">
        <v>13</v>
      </c>
      <c r="Y29" s="11" t="s">
        <v>12</v>
      </c>
      <c r="Z29" s="11" t="s">
        <v>11</v>
      </c>
      <c r="AA29" s="11" t="s">
        <v>14</v>
      </c>
      <c r="AB29" s="11" t="s">
        <v>12</v>
      </c>
      <c r="AC29" s="11" t="s">
        <v>13</v>
      </c>
      <c r="AD29" s="11" t="s">
        <v>11</v>
      </c>
      <c r="AE29" s="11" t="s">
        <v>14</v>
      </c>
      <c r="AF29" s="11" t="s">
        <v>12</v>
      </c>
      <c r="AG29" s="11" t="s">
        <v>13</v>
      </c>
      <c r="AH29" s="11" t="s">
        <v>11</v>
      </c>
      <c r="AI29" s="11" t="s">
        <v>14</v>
      </c>
      <c r="AJ29" s="11" t="s">
        <v>14</v>
      </c>
      <c r="AK29" s="11" t="s">
        <v>11</v>
      </c>
      <c r="AL29" s="11" t="s">
        <v>13</v>
      </c>
      <c r="AM29" s="11" t="s">
        <v>12</v>
      </c>
      <c r="AN29" s="11" t="s">
        <v>11</v>
      </c>
      <c r="AO29" s="11" t="s">
        <v>12</v>
      </c>
      <c r="AP29" s="11" t="s">
        <v>13</v>
      </c>
      <c r="AQ29" s="11" t="s">
        <v>14</v>
      </c>
      <c r="AR29" s="11" t="s">
        <v>14</v>
      </c>
      <c r="AS29" s="11" t="s">
        <v>13</v>
      </c>
      <c r="AT29" s="11" t="s">
        <v>11</v>
      </c>
      <c r="AU29" s="11" t="s">
        <v>14</v>
      </c>
      <c r="AV29" s="11" t="s">
        <v>13</v>
      </c>
      <c r="AW29" s="11" t="s">
        <v>11</v>
      </c>
      <c r="AX29" s="11" t="s">
        <v>11</v>
      </c>
      <c r="AY29" s="11" t="s">
        <v>14</v>
      </c>
      <c r="AZ29" s="11" t="s">
        <v>13</v>
      </c>
      <c r="BA29" s="11" t="s">
        <v>14</v>
      </c>
      <c r="BB29" s="11" t="s">
        <v>11</v>
      </c>
      <c r="BC29" s="11" t="s">
        <v>13</v>
      </c>
      <c r="BD29" s="11" t="s">
        <v>14</v>
      </c>
      <c r="BE29" s="11" t="s">
        <v>13</v>
      </c>
      <c r="BF29" s="11" t="s">
        <v>11</v>
      </c>
      <c r="BG29" s="11" t="s">
        <v>14</v>
      </c>
      <c r="BH29" s="11" t="s">
        <v>11</v>
      </c>
      <c r="BI29" s="11" t="s">
        <v>13</v>
      </c>
      <c r="BJ29" s="11" t="s">
        <v>14</v>
      </c>
      <c r="BK29" s="11" t="s">
        <v>13</v>
      </c>
      <c r="BL29" s="11" t="s">
        <v>11</v>
      </c>
      <c r="BM29" s="11" t="s">
        <v>14</v>
      </c>
      <c r="BN29" s="11" t="s">
        <v>11</v>
      </c>
      <c r="BO29" s="11" t="s">
        <v>13</v>
      </c>
      <c r="BP29" s="11" t="s">
        <v>14</v>
      </c>
      <c r="BQ29" s="11" t="s">
        <v>11</v>
      </c>
      <c r="BR29" s="11" t="s">
        <v>13</v>
      </c>
      <c r="BS29" s="11" t="s">
        <v>11</v>
      </c>
      <c r="BT29" s="11" t="s">
        <v>13</v>
      </c>
      <c r="BU29" s="11" t="s">
        <v>14</v>
      </c>
      <c r="BV29" s="11" t="s">
        <v>31</v>
      </c>
      <c r="BW29" s="13"/>
    </row>
    <row r="30" spans="1:75" ht="40.200000000000003" thickBot="1" x14ac:dyDescent="0.35">
      <c r="A30" s="6">
        <v>46147.564421296294</v>
      </c>
      <c r="B30" s="7" t="s">
        <v>25</v>
      </c>
      <c r="C30" s="7" t="s">
        <v>10</v>
      </c>
      <c r="D30" s="7" t="s">
        <v>12</v>
      </c>
      <c r="E30" s="7" t="s">
        <v>11</v>
      </c>
      <c r="F30" s="7" t="s">
        <v>14</v>
      </c>
      <c r="G30" s="7" t="s">
        <v>13</v>
      </c>
      <c r="H30" s="7" t="s">
        <v>11</v>
      </c>
      <c r="I30" s="7" t="s">
        <v>14</v>
      </c>
      <c r="J30" s="7" t="s">
        <v>12</v>
      </c>
      <c r="K30" s="7" t="s">
        <v>13</v>
      </c>
      <c r="L30" s="7" t="s">
        <v>12</v>
      </c>
      <c r="M30" s="7" t="s">
        <v>14</v>
      </c>
      <c r="N30" s="7" t="s">
        <v>12</v>
      </c>
      <c r="O30" s="7" t="s">
        <v>13</v>
      </c>
      <c r="P30" s="7" t="s">
        <v>11</v>
      </c>
      <c r="Q30" s="7" t="s">
        <v>14</v>
      </c>
      <c r="R30" s="7" t="s">
        <v>13</v>
      </c>
      <c r="S30" s="7" t="s">
        <v>12</v>
      </c>
      <c r="T30" s="7" t="s">
        <v>12</v>
      </c>
      <c r="U30" s="7" t="s">
        <v>13</v>
      </c>
      <c r="V30" s="7" t="s">
        <v>11</v>
      </c>
      <c r="W30" s="7" t="s">
        <v>14</v>
      </c>
      <c r="X30" s="7" t="s">
        <v>11</v>
      </c>
      <c r="Y30" s="7" t="s">
        <v>14</v>
      </c>
      <c r="Z30" s="7" t="s">
        <v>13</v>
      </c>
      <c r="AA30" s="7" t="s">
        <v>12</v>
      </c>
      <c r="AB30" s="7" t="s">
        <v>13</v>
      </c>
      <c r="AC30" s="7" t="s">
        <v>14</v>
      </c>
      <c r="AD30" s="7" t="s">
        <v>11</v>
      </c>
      <c r="AE30" s="7" t="s">
        <v>12</v>
      </c>
      <c r="AF30" s="7" t="s">
        <v>12</v>
      </c>
      <c r="AG30" s="7" t="s">
        <v>11</v>
      </c>
      <c r="AH30" s="7" t="s">
        <v>14</v>
      </c>
      <c r="AI30" s="7" t="s">
        <v>12</v>
      </c>
      <c r="AJ30" s="7" t="s">
        <v>12</v>
      </c>
      <c r="AK30" s="7" t="s">
        <v>13</v>
      </c>
      <c r="AL30" s="7" t="s">
        <v>11</v>
      </c>
      <c r="AM30" s="7" t="s">
        <v>14</v>
      </c>
      <c r="AN30" s="7" t="s">
        <v>13</v>
      </c>
      <c r="AO30" s="7" t="s">
        <v>14</v>
      </c>
      <c r="AP30" s="7" t="s">
        <v>11</v>
      </c>
      <c r="AQ30" s="7" t="s">
        <v>12</v>
      </c>
      <c r="AR30" s="7" t="s">
        <v>14</v>
      </c>
      <c r="AS30" s="7" t="s">
        <v>13</v>
      </c>
      <c r="AT30" s="7" t="s">
        <v>11</v>
      </c>
      <c r="AU30" s="7" t="s">
        <v>11</v>
      </c>
      <c r="AV30" s="7" t="s">
        <v>13</v>
      </c>
      <c r="AW30" s="7" t="s">
        <v>14</v>
      </c>
      <c r="AX30" s="7" t="s">
        <v>11</v>
      </c>
      <c r="AY30" s="7" t="s">
        <v>14</v>
      </c>
      <c r="AZ30" s="7" t="s">
        <v>13</v>
      </c>
      <c r="BA30" s="7" t="s">
        <v>11</v>
      </c>
      <c r="BB30" s="7" t="s">
        <v>13</v>
      </c>
      <c r="BC30" s="7" t="s">
        <v>14</v>
      </c>
      <c r="BD30" s="7" t="s">
        <v>14</v>
      </c>
      <c r="BE30" s="7" t="s">
        <v>13</v>
      </c>
      <c r="BF30" s="7" t="s">
        <v>11</v>
      </c>
      <c r="BG30" s="7" t="s">
        <v>11</v>
      </c>
      <c r="BH30" s="7" t="s">
        <v>14</v>
      </c>
      <c r="BI30" s="7" t="s">
        <v>13</v>
      </c>
      <c r="BJ30" s="7" t="s">
        <v>14</v>
      </c>
      <c r="BK30" s="7" t="s">
        <v>11</v>
      </c>
      <c r="BL30" s="7" t="s">
        <v>13</v>
      </c>
      <c r="BM30" s="7" t="s">
        <v>14</v>
      </c>
      <c r="BN30" s="7" t="s">
        <v>11</v>
      </c>
      <c r="BO30" s="7" t="s">
        <v>13</v>
      </c>
      <c r="BP30" s="7" t="s">
        <v>11</v>
      </c>
      <c r="BQ30" s="7" t="s">
        <v>14</v>
      </c>
      <c r="BR30" s="7" t="s">
        <v>13</v>
      </c>
      <c r="BS30" s="7" t="s">
        <v>13</v>
      </c>
      <c r="BT30" s="7" t="s">
        <v>11</v>
      </c>
      <c r="BU30" s="7" t="s">
        <v>14</v>
      </c>
      <c r="BV30" s="7" t="s">
        <v>32</v>
      </c>
      <c r="BW30" s="9"/>
    </row>
    <row r="31" spans="1:75" ht="53.4" thickBot="1" x14ac:dyDescent="0.35">
      <c r="A31" s="10">
        <v>46147.571493055555</v>
      </c>
      <c r="B31" s="11" t="s">
        <v>23</v>
      </c>
      <c r="C31" s="11" t="s">
        <v>10</v>
      </c>
      <c r="D31" s="11" t="s">
        <v>13</v>
      </c>
      <c r="E31" s="11" t="s">
        <v>12</v>
      </c>
      <c r="F31" s="11" t="s">
        <v>14</v>
      </c>
      <c r="G31" s="11" t="s">
        <v>11</v>
      </c>
      <c r="H31" s="11" t="s">
        <v>11</v>
      </c>
      <c r="I31" s="11" t="s">
        <v>14</v>
      </c>
      <c r="J31" s="11" t="s">
        <v>12</v>
      </c>
      <c r="K31" s="11" t="s">
        <v>13</v>
      </c>
      <c r="L31" s="11" t="s">
        <v>13</v>
      </c>
      <c r="M31" s="11" t="s">
        <v>14</v>
      </c>
      <c r="N31" s="11" t="s">
        <v>12</v>
      </c>
      <c r="O31" s="11" t="s">
        <v>11</v>
      </c>
      <c r="P31" s="11" t="s">
        <v>11</v>
      </c>
      <c r="Q31" s="11" t="s">
        <v>12</v>
      </c>
      <c r="R31" s="11" t="s">
        <v>13</v>
      </c>
      <c r="S31" s="11" t="s">
        <v>14</v>
      </c>
      <c r="T31" s="11" t="s">
        <v>11</v>
      </c>
      <c r="U31" s="11" t="s">
        <v>12</v>
      </c>
      <c r="V31" s="11" t="s">
        <v>13</v>
      </c>
      <c r="W31" s="11" t="s">
        <v>14</v>
      </c>
      <c r="X31" s="11" t="s">
        <v>11</v>
      </c>
      <c r="Y31" s="11" t="s">
        <v>14</v>
      </c>
      <c r="Z31" s="11" t="s">
        <v>13</v>
      </c>
      <c r="AA31" s="11" t="s">
        <v>12</v>
      </c>
      <c r="AB31" s="11" t="s">
        <v>11</v>
      </c>
      <c r="AC31" s="11" t="s">
        <v>12</v>
      </c>
      <c r="AD31" s="11" t="s">
        <v>14</v>
      </c>
      <c r="AE31" s="11" t="s">
        <v>12</v>
      </c>
      <c r="AF31" s="11" t="s">
        <v>12</v>
      </c>
      <c r="AG31" s="11" t="s">
        <v>13</v>
      </c>
      <c r="AH31" s="11" t="s">
        <v>14</v>
      </c>
      <c r="AI31" s="11" t="s">
        <v>11</v>
      </c>
      <c r="AJ31" s="11" t="s">
        <v>13</v>
      </c>
      <c r="AK31" s="11" t="s">
        <v>12</v>
      </c>
      <c r="AL31" s="11" t="s">
        <v>11</v>
      </c>
      <c r="AM31" s="11" t="s">
        <v>14</v>
      </c>
      <c r="AN31" s="11" t="s">
        <v>13</v>
      </c>
      <c r="AO31" s="11" t="s">
        <v>14</v>
      </c>
      <c r="AP31" s="11" t="s">
        <v>12</v>
      </c>
      <c r="AQ31" s="11" t="s">
        <v>11</v>
      </c>
      <c r="AR31" s="11" t="s">
        <v>14</v>
      </c>
      <c r="AS31" s="11" t="s">
        <v>13</v>
      </c>
      <c r="AT31" s="11" t="s">
        <v>11</v>
      </c>
      <c r="AU31" s="11" t="s">
        <v>13</v>
      </c>
      <c r="AV31" s="11" t="s">
        <v>11</v>
      </c>
      <c r="AW31" s="11" t="s">
        <v>14</v>
      </c>
      <c r="AX31" s="11" t="s">
        <v>13</v>
      </c>
      <c r="AY31" s="11" t="s">
        <v>11</v>
      </c>
      <c r="AZ31" s="11" t="s">
        <v>14</v>
      </c>
      <c r="BA31" s="11" t="s">
        <v>14</v>
      </c>
      <c r="BB31" s="11" t="s">
        <v>13</v>
      </c>
      <c r="BC31" s="11" t="s">
        <v>11</v>
      </c>
      <c r="BD31" s="11" t="s">
        <v>13</v>
      </c>
      <c r="BE31" s="11" t="s">
        <v>14</v>
      </c>
      <c r="BF31" s="11" t="s">
        <v>11</v>
      </c>
      <c r="BG31" s="11" t="s">
        <v>13</v>
      </c>
      <c r="BH31" s="11" t="s">
        <v>14</v>
      </c>
      <c r="BI31" s="11" t="s">
        <v>11</v>
      </c>
      <c r="BJ31" s="11" t="s">
        <v>14</v>
      </c>
      <c r="BK31" s="11" t="s">
        <v>11</v>
      </c>
      <c r="BL31" s="11" t="s">
        <v>13</v>
      </c>
      <c r="BM31" s="11" t="s">
        <v>14</v>
      </c>
      <c r="BN31" s="11" t="s">
        <v>11</v>
      </c>
      <c r="BO31" s="11" t="s">
        <v>13</v>
      </c>
      <c r="BP31" s="11" t="s">
        <v>14</v>
      </c>
      <c r="BQ31" s="11" t="s">
        <v>13</v>
      </c>
      <c r="BR31" s="11" t="s">
        <v>11</v>
      </c>
      <c r="BS31" s="11" t="s">
        <v>13</v>
      </c>
      <c r="BT31" s="11" t="s">
        <v>11</v>
      </c>
      <c r="BU31" s="11" t="s">
        <v>14</v>
      </c>
      <c r="BV31" s="11" t="s">
        <v>33</v>
      </c>
      <c r="BW31" s="13"/>
    </row>
    <row r="32" spans="1:75" ht="66.599999999999994" thickBot="1" x14ac:dyDescent="0.35">
      <c r="A32" s="6">
        <v>46147.842650462961</v>
      </c>
      <c r="B32" s="7" t="s">
        <v>25</v>
      </c>
      <c r="C32" s="7" t="s">
        <v>16</v>
      </c>
      <c r="D32" s="7" t="s">
        <v>55</v>
      </c>
      <c r="E32" s="7" t="s">
        <v>56</v>
      </c>
      <c r="F32" s="7" t="s">
        <v>13</v>
      </c>
      <c r="G32" s="7" t="s">
        <v>14</v>
      </c>
      <c r="H32" s="7" t="s">
        <v>13</v>
      </c>
      <c r="I32" s="7" t="s">
        <v>14</v>
      </c>
      <c r="J32" s="7" t="s">
        <v>56</v>
      </c>
      <c r="K32" s="7" t="s">
        <v>55</v>
      </c>
      <c r="L32" s="7" t="s">
        <v>56</v>
      </c>
      <c r="M32" s="7" t="s">
        <v>55</v>
      </c>
      <c r="N32" s="7" t="s">
        <v>14</v>
      </c>
      <c r="O32" s="7" t="s">
        <v>13</v>
      </c>
      <c r="P32" s="7" t="s">
        <v>55</v>
      </c>
      <c r="Q32" s="7" t="s">
        <v>56</v>
      </c>
      <c r="R32" s="7" t="s">
        <v>13</v>
      </c>
      <c r="S32" s="7" t="s">
        <v>14</v>
      </c>
      <c r="T32" s="7" t="s">
        <v>55</v>
      </c>
      <c r="U32" s="7" t="s">
        <v>56</v>
      </c>
      <c r="V32" s="7" t="s">
        <v>13</v>
      </c>
      <c r="W32" s="7" t="s">
        <v>14</v>
      </c>
      <c r="X32" s="7" t="s">
        <v>55</v>
      </c>
      <c r="Y32" s="7" t="s">
        <v>13</v>
      </c>
      <c r="Z32" s="7" t="s">
        <v>56</v>
      </c>
      <c r="AA32" s="7" t="s">
        <v>14</v>
      </c>
      <c r="AB32" s="7" t="s">
        <v>14</v>
      </c>
      <c r="AC32" s="7" t="s">
        <v>55</v>
      </c>
      <c r="AD32" s="7" t="s">
        <v>13</v>
      </c>
      <c r="AE32" s="7" t="s">
        <v>56</v>
      </c>
      <c r="AF32" s="7" t="s">
        <v>14</v>
      </c>
      <c r="AG32" s="7" t="s">
        <v>55</v>
      </c>
      <c r="AH32" s="7" t="s">
        <v>56</v>
      </c>
      <c r="AI32" s="7" t="s">
        <v>13</v>
      </c>
      <c r="AJ32" s="7" t="s">
        <v>14</v>
      </c>
      <c r="AK32" s="7" t="s">
        <v>56</v>
      </c>
      <c r="AL32" s="7" t="s">
        <v>13</v>
      </c>
      <c r="AM32" s="7" t="s">
        <v>55</v>
      </c>
      <c r="AN32" s="7" t="s">
        <v>14</v>
      </c>
      <c r="AO32" s="7" t="s">
        <v>55</v>
      </c>
      <c r="AP32" s="7" t="s">
        <v>56</v>
      </c>
      <c r="AQ32" s="7" t="s">
        <v>13</v>
      </c>
      <c r="AR32" s="7" t="s">
        <v>57</v>
      </c>
      <c r="AS32" s="7" t="s">
        <v>13</v>
      </c>
      <c r="AT32" s="7" t="s">
        <v>55</v>
      </c>
      <c r="AU32" s="7" t="s">
        <v>57</v>
      </c>
      <c r="AV32" s="7" t="s">
        <v>13</v>
      </c>
      <c r="AW32" s="7" t="s">
        <v>55</v>
      </c>
      <c r="AX32" s="7" t="s">
        <v>55</v>
      </c>
      <c r="AY32" s="7" t="s">
        <v>13</v>
      </c>
      <c r="AZ32" s="7" t="s">
        <v>57</v>
      </c>
      <c r="BA32" s="7" t="s">
        <v>57</v>
      </c>
      <c r="BB32" s="7" t="s">
        <v>55</v>
      </c>
      <c r="BC32" s="7" t="s">
        <v>13</v>
      </c>
      <c r="BD32" s="7" t="s">
        <v>13</v>
      </c>
      <c r="BE32" s="7" t="s">
        <v>57</v>
      </c>
      <c r="BF32" s="7" t="s">
        <v>55</v>
      </c>
      <c r="BG32" s="7" t="s">
        <v>13</v>
      </c>
      <c r="BH32" s="7" t="s">
        <v>57</v>
      </c>
      <c r="BI32" s="7" t="s">
        <v>55</v>
      </c>
      <c r="BJ32" s="7" t="s">
        <v>57</v>
      </c>
      <c r="BK32" s="7" t="s">
        <v>55</v>
      </c>
      <c r="BL32" s="7" t="s">
        <v>13</v>
      </c>
      <c r="BM32" s="7" t="s">
        <v>57</v>
      </c>
      <c r="BN32" s="7" t="s">
        <v>55</v>
      </c>
      <c r="BO32" s="7" t="s">
        <v>13</v>
      </c>
      <c r="BP32" s="7" t="s">
        <v>55</v>
      </c>
      <c r="BQ32" s="7" t="s">
        <v>13</v>
      </c>
      <c r="BR32" s="7" t="s">
        <v>57</v>
      </c>
      <c r="BS32" s="7" t="s">
        <v>13</v>
      </c>
      <c r="BT32" s="7" t="s">
        <v>55</v>
      </c>
      <c r="BU32" s="7" t="s">
        <v>57</v>
      </c>
      <c r="BV32" s="7" t="s">
        <v>34</v>
      </c>
      <c r="BW32" s="9"/>
    </row>
    <row r="33" spans="1:75" ht="53.4" thickBot="1" x14ac:dyDescent="0.35">
      <c r="A33" s="10">
        <v>46147.853043981479</v>
      </c>
      <c r="B33" s="11" t="s">
        <v>17</v>
      </c>
      <c r="C33" s="11" t="s">
        <v>10</v>
      </c>
      <c r="D33" s="11" t="s">
        <v>13</v>
      </c>
      <c r="E33" s="11" t="s">
        <v>56</v>
      </c>
      <c r="F33" s="11" t="s">
        <v>14</v>
      </c>
      <c r="G33" s="11" t="s">
        <v>55</v>
      </c>
      <c r="H33" s="11" t="s">
        <v>13</v>
      </c>
      <c r="I33" s="11" t="s">
        <v>14</v>
      </c>
      <c r="J33" s="11" t="s">
        <v>56</v>
      </c>
      <c r="K33" s="11" t="s">
        <v>55</v>
      </c>
      <c r="L33" s="11" t="s">
        <v>55</v>
      </c>
      <c r="M33" s="11" t="s">
        <v>56</v>
      </c>
      <c r="N33" s="11" t="s">
        <v>14</v>
      </c>
      <c r="O33" s="11" t="s">
        <v>13</v>
      </c>
      <c r="P33" s="11" t="s">
        <v>55</v>
      </c>
      <c r="Q33" s="11" t="s">
        <v>14</v>
      </c>
      <c r="R33" s="11" t="s">
        <v>13</v>
      </c>
      <c r="S33" s="11" t="s">
        <v>56</v>
      </c>
      <c r="T33" s="11" t="s">
        <v>55</v>
      </c>
      <c r="U33" s="11" t="s">
        <v>14</v>
      </c>
      <c r="V33" s="11" t="s">
        <v>13</v>
      </c>
      <c r="W33" s="11" t="s">
        <v>56</v>
      </c>
      <c r="X33" s="11" t="s">
        <v>14</v>
      </c>
      <c r="Y33" s="11" t="s">
        <v>55</v>
      </c>
      <c r="Z33" s="11" t="s">
        <v>56</v>
      </c>
      <c r="AA33" s="11" t="s">
        <v>13</v>
      </c>
      <c r="AB33" s="11" t="s">
        <v>13</v>
      </c>
      <c r="AC33" s="11" t="s">
        <v>56</v>
      </c>
      <c r="AD33" s="11" t="s">
        <v>55</v>
      </c>
      <c r="AE33" s="11" t="s">
        <v>14</v>
      </c>
      <c r="AF33" s="11" t="s">
        <v>14</v>
      </c>
      <c r="AG33" s="11" t="s">
        <v>13</v>
      </c>
      <c r="AH33" s="11" t="s">
        <v>56</v>
      </c>
      <c r="AI33" s="11" t="s">
        <v>55</v>
      </c>
      <c r="AJ33" s="11" t="s">
        <v>55</v>
      </c>
      <c r="AK33" s="11" t="s">
        <v>56</v>
      </c>
      <c r="AL33" s="11" t="s">
        <v>13</v>
      </c>
      <c r="AM33" s="11" t="s">
        <v>14</v>
      </c>
      <c r="AN33" s="11" t="s">
        <v>56</v>
      </c>
      <c r="AO33" s="11" t="s">
        <v>14</v>
      </c>
      <c r="AP33" s="11" t="s">
        <v>13</v>
      </c>
      <c r="AQ33" s="11" t="s">
        <v>55</v>
      </c>
      <c r="AR33" s="11" t="s">
        <v>57</v>
      </c>
      <c r="AS33" s="11" t="s">
        <v>13</v>
      </c>
      <c r="AT33" s="11" t="s">
        <v>55</v>
      </c>
      <c r="AU33" s="11" t="s">
        <v>13</v>
      </c>
      <c r="AV33" s="11" t="s">
        <v>55</v>
      </c>
      <c r="AW33" s="11" t="s">
        <v>57</v>
      </c>
      <c r="AX33" s="11" t="s">
        <v>13</v>
      </c>
      <c r="AY33" s="11" t="s">
        <v>55</v>
      </c>
      <c r="AZ33" s="11" t="s">
        <v>57</v>
      </c>
      <c r="BA33" s="11" t="s">
        <v>55</v>
      </c>
      <c r="BB33" s="11" t="s">
        <v>13</v>
      </c>
      <c r="BC33" s="11" t="s">
        <v>57</v>
      </c>
      <c r="BD33" s="11" t="s">
        <v>57</v>
      </c>
      <c r="BE33" s="11" t="s">
        <v>55</v>
      </c>
      <c r="BF33" s="11" t="s">
        <v>13</v>
      </c>
      <c r="BG33" s="11" t="s">
        <v>55</v>
      </c>
      <c r="BH33" s="11" t="s">
        <v>13</v>
      </c>
      <c r="BI33" s="11" t="s">
        <v>57</v>
      </c>
      <c r="BJ33" s="11" t="s">
        <v>57</v>
      </c>
      <c r="BK33" s="11" t="s">
        <v>55</v>
      </c>
      <c r="BL33" s="11" t="s">
        <v>13</v>
      </c>
      <c r="BM33" s="11" t="s">
        <v>57</v>
      </c>
      <c r="BN33" s="11" t="s">
        <v>55</v>
      </c>
      <c r="BO33" s="11" t="s">
        <v>13</v>
      </c>
      <c r="BP33" s="11" t="s">
        <v>55</v>
      </c>
      <c r="BQ33" s="11" t="s">
        <v>13</v>
      </c>
      <c r="BR33" s="11" t="s">
        <v>57</v>
      </c>
      <c r="BS33" s="11" t="s">
        <v>13</v>
      </c>
      <c r="BT33" s="11" t="s">
        <v>55</v>
      </c>
      <c r="BU33" s="11" t="s">
        <v>57</v>
      </c>
      <c r="BV33" s="11" t="s">
        <v>35</v>
      </c>
      <c r="BW33" s="13"/>
    </row>
    <row r="34" spans="1:75" ht="53.4" thickBot="1" x14ac:dyDescent="0.35">
      <c r="A34" s="6">
        <v>46147.873645833337</v>
      </c>
      <c r="B34" s="7" t="s">
        <v>25</v>
      </c>
      <c r="C34" s="7" t="s">
        <v>10</v>
      </c>
      <c r="D34" s="7" t="s">
        <v>14</v>
      </c>
      <c r="E34" s="7" t="s">
        <v>56</v>
      </c>
      <c r="F34" s="7" t="s">
        <v>13</v>
      </c>
      <c r="G34" s="7" t="s">
        <v>55</v>
      </c>
      <c r="H34" s="7" t="s">
        <v>13</v>
      </c>
      <c r="I34" s="7" t="s">
        <v>55</v>
      </c>
      <c r="J34" s="7" t="s">
        <v>14</v>
      </c>
      <c r="K34" s="7" t="s">
        <v>56</v>
      </c>
      <c r="L34" s="7" t="s">
        <v>55</v>
      </c>
      <c r="M34" s="7" t="s">
        <v>14</v>
      </c>
      <c r="N34" s="7" t="s">
        <v>13</v>
      </c>
      <c r="O34" s="7" t="s">
        <v>56</v>
      </c>
      <c r="P34" s="7" t="s">
        <v>14</v>
      </c>
      <c r="Q34" s="7" t="s">
        <v>13</v>
      </c>
      <c r="R34" s="7" t="s">
        <v>56</v>
      </c>
      <c r="S34" s="7" t="s">
        <v>55</v>
      </c>
      <c r="T34" s="7" t="s">
        <v>13</v>
      </c>
      <c r="U34" s="7" t="s">
        <v>56</v>
      </c>
      <c r="V34" s="7" t="s">
        <v>14</v>
      </c>
      <c r="W34" s="7" t="s">
        <v>55</v>
      </c>
      <c r="X34" s="7" t="s">
        <v>14</v>
      </c>
      <c r="Y34" s="7" t="s">
        <v>13</v>
      </c>
      <c r="Z34" s="7" t="s">
        <v>56</v>
      </c>
      <c r="AA34" s="7" t="s">
        <v>55</v>
      </c>
      <c r="AB34" s="7" t="s">
        <v>14</v>
      </c>
      <c r="AC34" s="7" t="s">
        <v>56</v>
      </c>
      <c r="AD34" s="7" t="s">
        <v>55</v>
      </c>
      <c r="AE34" s="7" t="s">
        <v>13</v>
      </c>
      <c r="AF34" s="7" t="s">
        <v>55</v>
      </c>
      <c r="AG34" s="7" t="s">
        <v>14</v>
      </c>
      <c r="AH34" s="7" t="s">
        <v>56</v>
      </c>
      <c r="AI34" s="7" t="s">
        <v>13</v>
      </c>
      <c r="AJ34" s="7" t="s">
        <v>13</v>
      </c>
      <c r="AK34" s="7" t="s">
        <v>56</v>
      </c>
      <c r="AL34" s="7" t="s">
        <v>14</v>
      </c>
      <c r="AM34" s="7" t="s">
        <v>55</v>
      </c>
      <c r="AN34" s="7" t="s">
        <v>55</v>
      </c>
      <c r="AO34" s="7" t="s">
        <v>14</v>
      </c>
      <c r="AP34" s="7" t="s">
        <v>56</v>
      </c>
      <c r="AQ34" s="7" t="s">
        <v>13</v>
      </c>
      <c r="AR34" s="7" t="s">
        <v>57</v>
      </c>
      <c r="AS34" s="7" t="s">
        <v>13</v>
      </c>
      <c r="AT34" s="7" t="s">
        <v>55</v>
      </c>
      <c r="AU34" s="7" t="s">
        <v>57</v>
      </c>
      <c r="AV34" s="7" t="s">
        <v>55</v>
      </c>
      <c r="AW34" s="7" t="s">
        <v>13</v>
      </c>
      <c r="AX34" s="7" t="s">
        <v>13</v>
      </c>
      <c r="AY34" s="7" t="s">
        <v>55</v>
      </c>
      <c r="AZ34" s="7" t="s">
        <v>57</v>
      </c>
      <c r="BA34" s="7" t="s">
        <v>55</v>
      </c>
      <c r="BB34" s="7" t="s">
        <v>13</v>
      </c>
      <c r="BC34" s="7" t="s">
        <v>57</v>
      </c>
      <c r="BD34" s="7" t="s">
        <v>55</v>
      </c>
      <c r="BE34" s="7" t="s">
        <v>57</v>
      </c>
      <c r="BF34" s="7" t="s">
        <v>13</v>
      </c>
      <c r="BG34" s="7" t="s">
        <v>55</v>
      </c>
      <c r="BH34" s="7" t="s">
        <v>13</v>
      </c>
      <c r="BI34" s="7" t="s">
        <v>57</v>
      </c>
      <c r="BJ34" s="7" t="s">
        <v>57</v>
      </c>
      <c r="BK34" s="7" t="s">
        <v>13</v>
      </c>
      <c r="BL34" s="7" t="s">
        <v>55</v>
      </c>
      <c r="BM34" s="7" t="s">
        <v>57</v>
      </c>
      <c r="BN34" s="7" t="s">
        <v>55</v>
      </c>
      <c r="BO34" s="7" t="s">
        <v>13</v>
      </c>
      <c r="BP34" s="7" t="s">
        <v>55</v>
      </c>
      <c r="BQ34" s="7" t="s">
        <v>57</v>
      </c>
      <c r="BR34" s="7" t="s">
        <v>13</v>
      </c>
      <c r="BS34" s="7" t="s">
        <v>55</v>
      </c>
      <c r="BT34" s="7" t="s">
        <v>13</v>
      </c>
      <c r="BU34" s="7" t="s">
        <v>57</v>
      </c>
      <c r="BV34" s="7" t="s">
        <v>36</v>
      </c>
      <c r="BW34" s="9"/>
    </row>
    <row r="35" spans="1:75" ht="40.200000000000003" thickBot="1" x14ac:dyDescent="0.35">
      <c r="A35" s="10">
        <v>46147.878182870372</v>
      </c>
      <c r="B35" s="11" t="s">
        <v>25</v>
      </c>
      <c r="C35" s="11" t="s">
        <v>10</v>
      </c>
      <c r="D35" s="11" t="s">
        <v>56</v>
      </c>
      <c r="E35" s="11" t="s">
        <v>55</v>
      </c>
      <c r="F35" s="11" t="s">
        <v>14</v>
      </c>
      <c r="G35" s="11" t="s">
        <v>13</v>
      </c>
      <c r="H35" s="11" t="s">
        <v>56</v>
      </c>
      <c r="I35" s="11" t="s">
        <v>13</v>
      </c>
      <c r="J35" s="11" t="s">
        <v>55</v>
      </c>
      <c r="K35" s="11" t="s">
        <v>14</v>
      </c>
      <c r="L35" s="11" t="s">
        <v>55</v>
      </c>
      <c r="M35" s="11" t="s">
        <v>56</v>
      </c>
      <c r="N35" s="11" t="s">
        <v>14</v>
      </c>
      <c r="O35" s="11" t="s">
        <v>13</v>
      </c>
      <c r="P35" s="11" t="s">
        <v>56</v>
      </c>
      <c r="Q35" s="11" t="s">
        <v>14</v>
      </c>
      <c r="R35" s="11" t="s">
        <v>13</v>
      </c>
      <c r="S35" s="11" t="s">
        <v>55</v>
      </c>
      <c r="T35" s="11" t="s">
        <v>55</v>
      </c>
      <c r="U35" s="11" t="s">
        <v>13</v>
      </c>
      <c r="V35" s="11" t="s">
        <v>14</v>
      </c>
      <c r="W35" s="11" t="s">
        <v>56</v>
      </c>
      <c r="X35" s="11" t="s">
        <v>13</v>
      </c>
      <c r="Y35" s="11" t="s">
        <v>14</v>
      </c>
      <c r="Z35" s="11" t="s">
        <v>55</v>
      </c>
      <c r="AA35" s="11" t="s">
        <v>56</v>
      </c>
      <c r="AB35" s="11" t="s">
        <v>55</v>
      </c>
      <c r="AC35" s="11" t="s">
        <v>56</v>
      </c>
      <c r="AD35" s="11" t="s">
        <v>14</v>
      </c>
      <c r="AE35" s="11" t="s">
        <v>13</v>
      </c>
      <c r="AF35" s="11" t="s">
        <v>55</v>
      </c>
      <c r="AG35" s="11" t="s">
        <v>13</v>
      </c>
      <c r="AH35" s="11" t="s">
        <v>14</v>
      </c>
      <c r="AI35" s="11" t="s">
        <v>56</v>
      </c>
      <c r="AJ35" s="11" t="s">
        <v>55</v>
      </c>
      <c r="AK35" s="11" t="s">
        <v>13</v>
      </c>
      <c r="AL35" s="11" t="s">
        <v>14</v>
      </c>
      <c r="AM35" s="11" t="s">
        <v>56</v>
      </c>
      <c r="AN35" s="11" t="s">
        <v>55</v>
      </c>
      <c r="AO35" s="11" t="s">
        <v>56</v>
      </c>
      <c r="AP35" s="11" t="s">
        <v>14</v>
      </c>
      <c r="AQ35" s="11" t="s">
        <v>13</v>
      </c>
      <c r="AR35" s="11" t="s">
        <v>13</v>
      </c>
      <c r="AS35" s="11" t="s">
        <v>55</v>
      </c>
      <c r="AT35" s="11" t="s">
        <v>57</v>
      </c>
      <c r="AU35" s="11" t="s">
        <v>55</v>
      </c>
      <c r="AV35" s="11" t="s">
        <v>13</v>
      </c>
      <c r="AW35" s="11" t="s">
        <v>57</v>
      </c>
      <c r="AX35" s="11" t="s">
        <v>55</v>
      </c>
      <c r="AY35" s="11" t="s">
        <v>13</v>
      </c>
      <c r="AZ35" s="11" t="s">
        <v>57</v>
      </c>
      <c r="BA35" s="11" t="s">
        <v>55</v>
      </c>
      <c r="BB35" s="11" t="s">
        <v>13</v>
      </c>
      <c r="BC35" s="11" t="s">
        <v>57</v>
      </c>
      <c r="BD35" s="11" t="s">
        <v>55</v>
      </c>
      <c r="BE35" s="11" t="s">
        <v>13</v>
      </c>
      <c r="BF35" s="11" t="s">
        <v>57</v>
      </c>
      <c r="BG35" s="11" t="s">
        <v>55</v>
      </c>
      <c r="BH35" s="11" t="s">
        <v>13</v>
      </c>
      <c r="BI35" s="11" t="s">
        <v>57</v>
      </c>
      <c r="BJ35" s="11" t="s">
        <v>55</v>
      </c>
      <c r="BK35" s="11" t="s">
        <v>13</v>
      </c>
      <c r="BL35" s="11" t="s">
        <v>57</v>
      </c>
      <c r="BM35" s="11" t="s">
        <v>55</v>
      </c>
      <c r="BN35" s="11" t="s">
        <v>13</v>
      </c>
      <c r="BO35" s="11" t="s">
        <v>57</v>
      </c>
      <c r="BP35" s="11" t="s">
        <v>55</v>
      </c>
      <c r="BQ35" s="11" t="s">
        <v>13</v>
      </c>
      <c r="BR35" s="11" t="s">
        <v>57</v>
      </c>
      <c r="BS35" s="11" t="s">
        <v>55</v>
      </c>
      <c r="BT35" s="11" t="s">
        <v>13</v>
      </c>
      <c r="BU35" s="11" t="s">
        <v>57</v>
      </c>
      <c r="BV35" s="11" t="s">
        <v>37</v>
      </c>
      <c r="BW35" s="13"/>
    </row>
    <row r="36" spans="1:75" ht="79.8" thickBot="1" x14ac:dyDescent="0.35">
      <c r="A36" s="6">
        <v>46147.935752314814</v>
      </c>
      <c r="B36" s="7" t="s">
        <v>9</v>
      </c>
      <c r="C36" s="7" t="s">
        <v>15</v>
      </c>
      <c r="D36" s="7" t="s">
        <v>13</v>
      </c>
      <c r="E36" s="7" t="s">
        <v>56</v>
      </c>
      <c r="F36" s="7" t="s">
        <v>55</v>
      </c>
      <c r="G36" s="7" t="s">
        <v>14</v>
      </c>
      <c r="H36" s="7" t="s">
        <v>13</v>
      </c>
      <c r="I36" s="7" t="s">
        <v>14</v>
      </c>
      <c r="J36" s="7" t="s">
        <v>56</v>
      </c>
      <c r="K36" s="7" t="s">
        <v>55</v>
      </c>
      <c r="L36" s="7" t="s">
        <v>13</v>
      </c>
      <c r="M36" s="7" t="s">
        <v>56</v>
      </c>
      <c r="N36" s="7" t="s">
        <v>55</v>
      </c>
      <c r="O36" s="7" t="s">
        <v>14</v>
      </c>
      <c r="P36" s="7" t="s">
        <v>55</v>
      </c>
      <c r="Q36" s="7" t="s">
        <v>56</v>
      </c>
      <c r="R36" s="7" t="s">
        <v>13</v>
      </c>
      <c r="S36" s="7" t="s">
        <v>14</v>
      </c>
      <c r="T36" s="7" t="s">
        <v>55</v>
      </c>
      <c r="U36" s="7" t="s">
        <v>14</v>
      </c>
      <c r="V36" s="7" t="s">
        <v>13</v>
      </c>
      <c r="W36" s="7" t="s">
        <v>56</v>
      </c>
      <c r="X36" s="7" t="s">
        <v>55</v>
      </c>
      <c r="Y36" s="7" t="s">
        <v>13</v>
      </c>
      <c r="Z36" s="7" t="s">
        <v>56</v>
      </c>
      <c r="AA36" s="7" t="s">
        <v>14</v>
      </c>
      <c r="AB36" s="7" t="s">
        <v>13</v>
      </c>
      <c r="AC36" s="7" t="s">
        <v>14</v>
      </c>
      <c r="AD36" s="7" t="s">
        <v>55</v>
      </c>
      <c r="AE36" s="7" t="s">
        <v>56</v>
      </c>
      <c r="AF36" s="7" t="s">
        <v>14</v>
      </c>
      <c r="AG36" s="7" t="s">
        <v>13</v>
      </c>
      <c r="AH36" s="7" t="s">
        <v>56</v>
      </c>
      <c r="AI36" s="7" t="s">
        <v>55</v>
      </c>
      <c r="AJ36" s="7" t="s">
        <v>13</v>
      </c>
      <c r="AK36" s="7" t="s">
        <v>56</v>
      </c>
      <c r="AL36" s="7" t="s">
        <v>14</v>
      </c>
      <c r="AM36" s="7" t="s">
        <v>55</v>
      </c>
      <c r="AN36" s="7" t="s">
        <v>13</v>
      </c>
      <c r="AO36" s="7" t="s">
        <v>55</v>
      </c>
      <c r="AP36" s="7" t="s">
        <v>14</v>
      </c>
      <c r="AQ36" s="7" t="s">
        <v>56</v>
      </c>
      <c r="AR36" s="7" t="s">
        <v>57</v>
      </c>
      <c r="AS36" s="7" t="s">
        <v>13</v>
      </c>
      <c r="AT36" s="7" t="s">
        <v>55</v>
      </c>
      <c r="AU36" s="7" t="s">
        <v>55</v>
      </c>
      <c r="AV36" s="7" t="s">
        <v>13</v>
      </c>
      <c r="AW36" s="7" t="s">
        <v>57</v>
      </c>
      <c r="AX36" s="7" t="s">
        <v>13</v>
      </c>
      <c r="AY36" s="7" t="s">
        <v>55</v>
      </c>
      <c r="AZ36" s="7" t="s">
        <v>57</v>
      </c>
      <c r="BA36" s="7" t="s">
        <v>55</v>
      </c>
      <c r="BB36" s="7" t="s">
        <v>13</v>
      </c>
      <c r="BC36" s="7" t="s">
        <v>57</v>
      </c>
      <c r="BD36" s="7" t="s">
        <v>57</v>
      </c>
      <c r="BE36" s="7" t="s">
        <v>13</v>
      </c>
      <c r="BF36" s="7" t="s">
        <v>55</v>
      </c>
      <c r="BG36" s="7" t="s">
        <v>55</v>
      </c>
      <c r="BH36" s="7" t="s">
        <v>13</v>
      </c>
      <c r="BI36" s="7" t="s">
        <v>57</v>
      </c>
      <c r="BJ36" s="7" t="s">
        <v>13</v>
      </c>
      <c r="BK36" s="7" t="s">
        <v>55</v>
      </c>
      <c r="BL36" s="7" t="s">
        <v>57</v>
      </c>
      <c r="BM36" s="7" t="s">
        <v>57</v>
      </c>
      <c r="BN36" s="7" t="s">
        <v>55</v>
      </c>
      <c r="BO36" s="7" t="s">
        <v>13</v>
      </c>
      <c r="BP36" s="7" t="s">
        <v>55</v>
      </c>
      <c r="BQ36" s="7" t="s">
        <v>13</v>
      </c>
      <c r="BR36" s="7" t="s">
        <v>57</v>
      </c>
      <c r="BS36" s="7" t="s">
        <v>13</v>
      </c>
      <c r="BT36" s="7" t="s">
        <v>57</v>
      </c>
      <c r="BU36" s="7" t="s">
        <v>55</v>
      </c>
      <c r="BV36" s="7" t="s">
        <v>38</v>
      </c>
      <c r="BW36" s="9"/>
    </row>
    <row r="37" spans="1:75" ht="40.200000000000003" thickBot="1" x14ac:dyDescent="0.35">
      <c r="A37" s="10">
        <v>46147.945625</v>
      </c>
      <c r="B37" s="11" t="s">
        <v>9</v>
      </c>
      <c r="C37" s="11" t="s">
        <v>10</v>
      </c>
      <c r="D37" s="11" t="s">
        <v>14</v>
      </c>
      <c r="E37" s="11" t="s">
        <v>55</v>
      </c>
      <c r="F37" s="11" t="s">
        <v>56</v>
      </c>
      <c r="G37" s="11" t="s">
        <v>13</v>
      </c>
      <c r="H37" s="11" t="s">
        <v>56</v>
      </c>
      <c r="I37" s="11" t="s">
        <v>13</v>
      </c>
      <c r="J37" s="11" t="s">
        <v>55</v>
      </c>
      <c r="K37" s="11" t="s">
        <v>14</v>
      </c>
      <c r="L37" s="11" t="s">
        <v>56</v>
      </c>
      <c r="M37" s="11" t="s">
        <v>13</v>
      </c>
      <c r="N37" s="11" t="s">
        <v>55</v>
      </c>
      <c r="O37" s="11" t="s">
        <v>14</v>
      </c>
      <c r="P37" s="11" t="s">
        <v>55</v>
      </c>
      <c r="Q37" s="11" t="s">
        <v>14</v>
      </c>
      <c r="R37" s="11" t="s">
        <v>13</v>
      </c>
      <c r="S37" s="11" t="s">
        <v>56</v>
      </c>
      <c r="T37" s="11" t="s">
        <v>55</v>
      </c>
      <c r="U37" s="11" t="s">
        <v>56</v>
      </c>
      <c r="V37" s="11" t="s">
        <v>13</v>
      </c>
      <c r="W37" s="11" t="s">
        <v>14</v>
      </c>
      <c r="X37" s="11" t="s">
        <v>55</v>
      </c>
      <c r="Y37" s="11" t="s">
        <v>56</v>
      </c>
      <c r="Z37" s="11" t="s">
        <v>14</v>
      </c>
      <c r="AA37" s="11" t="s">
        <v>13</v>
      </c>
      <c r="AB37" s="11" t="s">
        <v>13</v>
      </c>
      <c r="AC37" s="11" t="s">
        <v>14</v>
      </c>
      <c r="AD37" s="11" t="s">
        <v>55</v>
      </c>
      <c r="AE37" s="11" t="s">
        <v>56</v>
      </c>
      <c r="AF37" s="11" t="s">
        <v>13</v>
      </c>
      <c r="AG37" s="11" t="s">
        <v>55</v>
      </c>
      <c r="AH37" s="11" t="s">
        <v>56</v>
      </c>
      <c r="AI37" s="11" t="s">
        <v>14</v>
      </c>
      <c r="AJ37" s="11" t="s">
        <v>55</v>
      </c>
      <c r="AK37" s="11" t="s">
        <v>56</v>
      </c>
      <c r="AL37" s="11" t="s">
        <v>14</v>
      </c>
      <c r="AM37" s="11" t="s">
        <v>13</v>
      </c>
      <c r="AN37" s="11" t="s">
        <v>55</v>
      </c>
      <c r="AO37" s="11" t="s">
        <v>13</v>
      </c>
      <c r="AP37" s="11" t="s">
        <v>56</v>
      </c>
      <c r="AQ37" s="11" t="s">
        <v>14</v>
      </c>
      <c r="AR37" s="11" t="s">
        <v>13</v>
      </c>
      <c r="AS37" s="11" t="s">
        <v>57</v>
      </c>
      <c r="AT37" s="11" t="s">
        <v>55</v>
      </c>
      <c r="AU37" s="11" t="s">
        <v>57</v>
      </c>
      <c r="AV37" s="11" t="s">
        <v>55</v>
      </c>
      <c r="AW37" s="11" t="s">
        <v>13</v>
      </c>
      <c r="AX37" s="11" t="s">
        <v>13</v>
      </c>
      <c r="AY37" s="11" t="s">
        <v>55</v>
      </c>
      <c r="AZ37" s="11" t="s">
        <v>57</v>
      </c>
      <c r="BA37" s="11" t="s">
        <v>55</v>
      </c>
      <c r="BB37" s="11" t="s">
        <v>13</v>
      </c>
      <c r="BC37" s="11" t="s">
        <v>57</v>
      </c>
      <c r="BD37" s="11" t="s">
        <v>55</v>
      </c>
      <c r="BE37" s="11" t="s">
        <v>57</v>
      </c>
      <c r="BF37" s="11" t="s">
        <v>13</v>
      </c>
      <c r="BG37" s="11" t="s">
        <v>55</v>
      </c>
      <c r="BH37" s="11" t="s">
        <v>13</v>
      </c>
      <c r="BI37" s="11" t="s">
        <v>57</v>
      </c>
      <c r="BJ37" s="11" t="s">
        <v>57</v>
      </c>
      <c r="BK37" s="11" t="s">
        <v>13</v>
      </c>
      <c r="BL37" s="11" t="s">
        <v>55</v>
      </c>
      <c r="BM37" s="11" t="s">
        <v>13</v>
      </c>
      <c r="BN37" s="11" t="s">
        <v>55</v>
      </c>
      <c r="BO37" s="11" t="s">
        <v>57</v>
      </c>
      <c r="BP37" s="11" t="s">
        <v>55</v>
      </c>
      <c r="BQ37" s="11" t="s">
        <v>57</v>
      </c>
      <c r="BR37" s="11" t="s">
        <v>13</v>
      </c>
      <c r="BS37" s="11" t="s">
        <v>55</v>
      </c>
      <c r="BT37" s="11" t="s">
        <v>13</v>
      </c>
      <c r="BU37" s="11" t="s">
        <v>57</v>
      </c>
      <c r="BV37" s="11" t="s">
        <v>39</v>
      </c>
      <c r="BW37" s="13"/>
    </row>
    <row r="38" spans="1:75" ht="79.8" thickBot="1" x14ac:dyDescent="0.35">
      <c r="A38" s="6">
        <v>46150.46979166667</v>
      </c>
      <c r="B38" s="7" t="s">
        <v>23</v>
      </c>
      <c r="C38" s="7" t="s">
        <v>15</v>
      </c>
      <c r="D38" s="7" t="s">
        <v>13</v>
      </c>
      <c r="E38" s="7" t="s">
        <v>56</v>
      </c>
      <c r="F38" s="7" t="s">
        <v>14</v>
      </c>
      <c r="G38" s="7" t="s">
        <v>55</v>
      </c>
      <c r="H38" s="7" t="s">
        <v>55</v>
      </c>
      <c r="I38" s="7" t="s">
        <v>13</v>
      </c>
      <c r="J38" s="7" t="s">
        <v>14</v>
      </c>
      <c r="K38" s="7" t="s">
        <v>56</v>
      </c>
      <c r="L38" s="7" t="s">
        <v>55</v>
      </c>
      <c r="M38" s="7" t="s">
        <v>56</v>
      </c>
      <c r="N38" s="7" t="s">
        <v>13</v>
      </c>
      <c r="O38" s="7" t="s">
        <v>14</v>
      </c>
      <c r="P38" s="7" t="s">
        <v>55</v>
      </c>
      <c r="Q38" s="7" t="s">
        <v>56</v>
      </c>
      <c r="R38" s="7" t="s">
        <v>14</v>
      </c>
      <c r="S38" s="7" t="s">
        <v>13</v>
      </c>
      <c r="T38" s="7" t="s">
        <v>14</v>
      </c>
      <c r="U38" s="7" t="s">
        <v>56</v>
      </c>
      <c r="V38" s="7" t="s">
        <v>13</v>
      </c>
      <c r="W38" s="7" t="s">
        <v>55</v>
      </c>
      <c r="X38" s="7" t="s">
        <v>13</v>
      </c>
      <c r="Y38" s="7" t="s">
        <v>55</v>
      </c>
      <c r="Z38" s="7" t="s">
        <v>56</v>
      </c>
      <c r="AA38" s="7" t="s">
        <v>14</v>
      </c>
      <c r="AB38" s="7" t="s">
        <v>14</v>
      </c>
      <c r="AC38" s="7" t="s">
        <v>56</v>
      </c>
      <c r="AD38" s="7" t="s">
        <v>13</v>
      </c>
      <c r="AE38" s="7" t="s">
        <v>55</v>
      </c>
      <c r="AF38" s="7" t="s">
        <v>13</v>
      </c>
      <c r="AG38" s="7" t="s">
        <v>14</v>
      </c>
      <c r="AH38" s="7" t="s">
        <v>56</v>
      </c>
      <c r="AI38" s="7" t="s">
        <v>55</v>
      </c>
      <c r="AJ38" s="7" t="s">
        <v>55</v>
      </c>
      <c r="AK38" s="7" t="s">
        <v>56</v>
      </c>
      <c r="AL38" s="7" t="s">
        <v>14</v>
      </c>
      <c r="AM38" s="7" t="s">
        <v>13</v>
      </c>
      <c r="AN38" s="7" t="s">
        <v>55</v>
      </c>
      <c r="AO38" s="7" t="s">
        <v>56</v>
      </c>
      <c r="AP38" s="7" t="s">
        <v>14</v>
      </c>
      <c r="AQ38" s="7" t="s">
        <v>13</v>
      </c>
      <c r="AR38" s="7" t="s">
        <v>55</v>
      </c>
      <c r="AS38" s="7" t="s">
        <v>13</v>
      </c>
      <c r="AT38" s="7" t="s">
        <v>57</v>
      </c>
      <c r="AU38" s="7" t="s">
        <v>13</v>
      </c>
      <c r="AV38" s="7" t="s">
        <v>55</v>
      </c>
      <c r="AW38" s="7" t="s">
        <v>57</v>
      </c>
      <c r="AX38" s="7" t="s">
        <v>55</v>
      </c>
      <c r="AY38" s="7" t="s">
        <v>13</v>
      </c>
      <c r="AZ38" s="7" t="s">
        <v>57</v>
      </c>
      <c r="BA38" s="7" t="s">
        <v>13</v>
      </c>
      <c r="BB38" s="7" t="s">
        <v>55</v>
      </c>
      <c r="BC38" s="7" t="s">
        <v>57</v>
      </c>
      <c r="BD38" s="7" t="s">
        <v>55</v>
      </c>
      <c r="BE38" s="7" t="s">
        <v>13</v>
      </c>
      <c r="BF38" s="7" t="s">
        <v>57</v>
      </c>
      <c r="BG38" s="7" t="s">
        <v>55</v>
      </c>
      <c r="BH38" s="7" t="s">
        <v>13</v>
      </c>
      <c r="BI38" s="7" t="s">
        <v>57</v>
      </c>
      <c r="BJ38" s="7" t="s">
        <v>57</v>
      </c>
      <c r="BK38" s="7" t="s">
        <v>13</v>
      </c>
      <c r="BL38" s="7" t="s">
        <v>55</v>
      </c>
      <c r="BM38" s="7" t="s">
        <v>57</v>
      </c>
      <c r="BN38" s="7" t="s">
        <v>55</v>
      </c>
      <c r="BO38" s="7" t="s">
        <v>13</v>
      </c>
      <c r="BP38" s="7" t="s">
        <v>13</v>
      </c>
      <c r="BQ38" s="7" t="s">
        <v>55</v>
      </c>
      <c r="BR38" s="7" t="s">
        <v>57</v>
      </c>
      <c r="BS38" s="7" t="s">
        <v>13</v>
      </c>
      <c r="BT38" s="7" t="s">
        <v>55</v>
      </c>
      <c r="BU38" s="7" t="s">
        <v>57</v>
      </c>
      <c r="BV38" s="7" t="s">
        <v>40</v>
      </c>
      <c r="BW38" s="9"/>
    </row>
    <row r="39" spans="1:75" ht="79.8" thickBot="1" x14ac:dyDescent="0.35">
      <c r="A39" s="10">
        <v>46150.502314814818</v>
      </c>
      <c r="B39" s="11" t="s">
        <v>25</v>
      </c>
      <c r="C39" s="11" t="s">
        <v>15</v>
      </c>
      <c r="D39" s="11" t="s">
        <v>13</v>
      </c>
      <c r="E39" s="11" t="s">
        <v>56</v>
      </c>
      <c r="F39" s="11" t="s">
        <v>14</v>
      </c>
      <c r="G39" s="11" t="s">
        <v>55</v>
      </c>
      <c r="H39" s="11" t="s">
        <v>55</v>
      </c>
      <c r="I39" s="11" t="s">
        <v>13</v>
      </c>
      <c r="J39" s="11" t="s">
        <v>14</v>
      </c>
      <c r="K39" s="11" t="s">
        <v>56</v>
      </c>
      <c r="L39" s="11" t="s">
        <v>13</v>
      </c>
      <c r="M39" s="11" t="s">
        <v>14</v>
      </c>
      <c r="N39" s="11" t="s">
        <v>55</v>
      </c>
      <c r="O39" s="11" t="s">
        <v>56</v>
      </c>
      <c r="P39" s="11" t="s">
        <v>56</v>
      </c>
      <c r="Q39" s="11" t="s">
        <v>55</v>
      </c>
      <c r="R39" s="11" t="s">
        <v>14</v>
      </c>
      <c r="S39" s="11" t="s">
        <v>13</v>
      </c>
      <c r="T39" s="11" t="s">
        <v>55</v>
      </c>
      <c r="U39" s="11" t="s">
        <v>13</v>
      </c>
      <c r="V39" s="11" t="s">
        <v>56</v>
      </c>
      <c r="W39" s="11" t="s">
        <v>14</v>
      </c>
      <c r="X39" s="11" t="s">
        <v>55</v>
      </c>
      <c r="Y39" s="11" t="s">
        <v>14</v>
      </c>
      <c r="Z39" s="11" t="s">
        <v>13</v>
      </c>
      <c r="AA39" s="11" t="s">
        <v>56</v>
      </c>
      <c r="AB39" s="11" t="s">
        <v>14</v>
      </c>
      <c r="AC39" s="11" t="s">
        <v>55</v>
      </c>
      <c r="AD39" s="11" t="s">
        <v>13</v>
      </c>
      <c r="AE39" s="11" t="s">
        <v>56</v>
      </c>
      <c r="AF39" s="11" t="s">
        <v>13</v>
      </c>
      <c r="AG39" s="11" t="s">
        <v>55</v>
      </c>
      <c r="AH39" s="11" t="s">
        <v>14</v>
      </c>
      <c r="AI39" s="11" t="s">
        <v>56</v>
      </c>
      <c r="AJ39" s="11" t="s">
        <v>13</v>
      </c>
      <c r="AK39" s="11" t="s">
        <v>55</v>
      </c>
      <c r="AL39" s="11" t="s">
        <v>14</v>
      </c>
      <c r="AM39" s="11" t="s">
        <v>56</v>
      </c>
      <c r="AN39" s="11" t="s">
        <v>55</v>
      </c>
      <c r="AO39" s="11" t="s">
        <v>14</v>
      </c>
      <c r="AP39" s="11" t="s">
        <v>56</v>
      </c>
      <c r="AQ39" s="11" t="s">
        <v>13</v>
      </c>
      <c r="AR39" s="11" t="s">
        <v>13</v>
      </c>
      <c r="AS39" s="11" t="s">
        <v>57</v>
      </c>
      <c r="AT39" s="11" t="s">
        <v>55</v>
      </c>
      <c r="AU39" s="11" t="s">
        <v>55</v>
      </c>
      <c r="AV39" s="11" t="s">
        <v>57</v>
      </c>
      <c r="AW39" s="11" t="s">
        <v>13</v>
      </c>
      <c r="AX39" s="11" t="s">
        <v>13</v>
      </c>
      <c r="AY39" s="11" t="s">
        <v>55</v>
      </c>
      <c r="AZ39" s="11" t="s">
        <v>57</v>
      </c>
      <c r="BA39" s="11" t="s">
        <v>57</v>
      </c>
      <c r="BB39" s="11" t="s">
        <v>55</v>
      </c>
      <c r="BC39" s="11" t="s">
        <v>13</v>
      </c>
      <c r="BD39" s="11" t="s">
        <v>57</v>
      </c>
      <c r="BE39" s="11" t="s">
        <v>13</v>
      </c>
      <c r="BF39" s="11" t="s">
        <v>55</v>
      </c>
      <c r="BG39" s="11" t="s">
        <v>57</v>
      </c>
      <c r="BH39" s="11" t="s">
        <v>13</v>
      </c>
      <c r="BI39" s="11" t="s">
        <v>55</v>
      </c>
      <c r="BJ39" s="11" t="s">
        <v>57</v>
      </c>
      <c r="BK39" s="11" t="s">
        <v>13</v>
      </c>
      <c r="BL39" s="11" t="s">
        <v>55</v>
      </c>
      <c r="BM39" s="11" t="s">
        <v>57</v>
      </c>
      <c r="BN39" s="11" t="s">
        <v>13</v>
      </c>
      <c r="BO39" s="11" t="s">
        <v>55</v>
      </c>
      <c r="BP39" s="11" t="s">
        <v>57</v>
      </c>
      <c r="BQ39" s="11" t="s">
        <v>55</v>
      </c>
      <c r="BR39" s="11" t="s">
        <v>13</v>
      </c>
      <c r="BS39" s="11" t="s">
        <v>57</v>
      </c>
      <c r="BT39" s="11" t="s">
        <v>13</v>
      </c>
      <c r="BU39" s="11" t="s">
        <v>55</v>
      </c>
      <c r="BV39" s="11" t="s">
        <v>41</v>
      </c>
      <c r="BW39" s="13"/>
    </row>
    <row r="40" spans="1:75" ht="79.8" thickBot="1" x14ac:dyDescent="0.35">
      <c r="A40" s="6">
        <v>46150.508333333331</v>
      </c>
      <c r="B40" s="7" t="s">
        <v>25</v>
      </c>
      <c r="C40" s="7" t="s">
        <v>15</v>
      </c>
      <c r="D40" s="7" t="s">
        <v>13</v>
      </c>
      <c r="E40" s="7" t="s">
        <v>56</v>
      </c>
      <c r="F40" s="7" t="s">
        <v>55</v>
      </c>
      <c r="G40" s="7" t="s">
        <v>14</v>
      </c>
      <c r="H40" s="7" t="s">
        <v>55</v>
      </c>
      <c r="I40" s="7" t="s">
        <v>14</v>
      </c>
      <c r="J40" s="7" t="s">
        <v>56</v>
      </c>
      <c r="K40" s="7" t="s">
        <v>13</v>
      </c>
      <c r="L40" s="7" t="s">
        <v>56</v>
      </c>
      <c r="M40" s="7" t="s">
        <v>13</v>
      </c>
      <c r="N40" s="7" t="s">
        <v>14</v>
      </c>
      <c r="O40" s="7" t="s">
        <v>55</v>
      </c>
      <c r="P40" s="7" t="s">
        <v>55</v>
      </c>
      <c r="Q40" s="7" t="s">
        <v>56</v>
      </c>
      <c r="R40" s="7" t="s">
        <v>13</v>
      </c>
      <c r="S40" s="7" t="s">
        <v>14</v>
      </c>
      <c r="T40" s="7" t="s">
        <v>55</v>
      </c>
      <c r="U40" s="7" t="s">
        <v>56</v>
      </c>
      <c r="V40" s="7" t="s">
        <v>13</v>
      </c>
      <c r="W40" s="7" t="s">
        <v>14</v>
      </c>
      <c r="X40" s="7" t="s">
        <v>14</v>
      </c>
      <c r="Y40" s="7" t="s">
        <v>13</v>
      </c>
      <c r="Z40" s="7" t="s">
        <v>56</v>
      </c>
      <c r="AA40" s="7" t="s">
        <v>55</v>
      </c>
      <c r="AB40" s="7" t="s">
        <v>55</v>
      </c>
      <c r="AC40" s="7" t="s">
        <v>14</v>
      </c>
      <c r="AD40" s="7" t="s">
        <v>13</v>
      </c>
      <c r="AE40" s="7" t="s">
        <v>56</v>
      </c>
      <c r="AF40" s="7" t="s">
        <v>56</v>
      </c>
      <c r="AG40" s="7" t="s">
        <v>13</v>
      </c>
      <c r="AH40" s="7" t="s">
        <v>14</v>
      </c>
      <c r="AI40" s="7" t="s">
        <v>55</v>
      </c>
      <c r="AJ40" s="7" t="s">
        <v>55</v>
      </c>
      <c r="AK40" s="7" t="s">
        <v>56</v>
      </c>
      <c r="AL40" s="7" t="s">
        <v>14</v>
      </c>
      <c r="AM40" s="7" t="s">
        <v>13</v>
      </c>
      <c r="AN40" s="7" t="s">
        <v>55</v>
      </c>
      <c r="AO40" s="7" t="s">
        <v>14</v>
      </c>
      <c r="AP40" s="7" t="s">
        <v>56</v>
      </c>
      <c r="AQ40" s="7" t="s">
        <v>13</v>
      </c>
      <c r="AR40" s="7" t="s">
        <v>57</v>
      </c>
      <c r="AS40" s="7" t="s">
        <v>55</v>
      </c>
      <c r="AT40" s="7" t="s">
        <v>13</v>
      </c>
      <c r="AU40" s="7" t="s">
        <v>57</v>
      </c>
      <c r="AV40" s="7" t="s">
        <v>13</v>
      </c>
      <c r="AW40" s="7" t="s">
        <v>55</v>
      </c>
      <c r="AX40" s="7" t="s">
        <v>13</v>
      </c>
      <c r="AY40" s="7" t="s">
        <v>55</v>
      </c>
      <c r="AZ40" s="7" t="s">
        <v>57</v>
      </c>
      <c r="BA40" s="7" t="s">
        <v>55</v>
      </c>
      <c r="BB40" s="7" t="s">
        <v>13</v>
      </c>
      <c r="BC40" s="7" t="s">
        <v>57</v>
      </c>
      <c r="BD40" s="7" t="s">
        <v>57</v>
      </c>
      <c r="BE40" s="7" t="s">
        <v>55</v>
      </c>
      <c r="BF40" s="7" t="s">
        <v>13</v>
      </c>
      <c r="BG40" s="7" t="s">
        <v>55</v>
      </c>
      <c r="BH40" s="7" t="s">
        <v>57</v>
      </c>
      <c r="BI40" s="7" t="s">
        <v>13</v>
      </c>
      <c r="BJ40" s="7" t="s">
        <v>57</v>
      </c>
      <c r="BK40" s="7" t="s">
        <v>55</v>
      </c>
      <c r="BL40" s="7" t="s">
        <v>13</v>
      </c>
      <c r="BM40" s="7" t="s">
        <v>57</v>
      </c>
      <c r="BN40" s="7" t="s">
        <v>55</v>
      </c>
      <c r="BO40" s="7" t="s">
        <v>13</v>
      </c>
      <c r="BP40" s="7" t="s">
        <v>55</v>
      </c>
      <c r="BQ40" s="7" t="s">
        <v>13</v>
      </c>
      <c r="BR40" s="7" t="s">
        <v>57</v>
      </c>
      <c r="BS40" s="7" t="s">
        <v>55</v>
      </c>
      <c r="BT40" s="7" t="s">
        <v>13</v>
      </c>
      <c r="BU40" s="7" t="s">
        <v>57</v>
      </c>
      <c r="BV40" s="7" t="s">
        <v>42</v>
      </c>
      <c r="BW40" s="9"/>
    </row>
    <row r="41" spans="1:75" ht="40.200000000000003" thickBot="1" x14ac:dyDescent="0.35">
      <c r="A41" s="10">
        <v>46150.509571759256</v>
      </c>
      <c r="B41" s="11" t="s">
        <v>25</v>
      </c>
      <c r="C41" s="11" t="s">
        <v>10</v>
      </c>
      <c r="D41" s="11" t="s">
        <v>14</v>
      </c>
      <c r="E41" s="11" t="s">
        <v>13</v>
      </c>
      <c r="F41" s="11" t="s">
        <v>56</v>
      </c>
      <c r="G41" s="11" t="s">
        <v>55</v>
      </c>
      <c r="H41" s="11" t="s">
        <v>13</v>
      </c>
      <c r="I41" s="11" t="s">
        <v>56</v>
      </c>
      <c r="J41" s="11" t="s">
        <v>14</v>
      </c>
      <c r="K41" s="11" t="s">
        <v>55</v>
      </c>
      <c r="L41" s="11" t="s">
        <v>56</v>
      </c>
      <c r="M41" s="11" t="s">
        <v>14</v>
      </c>
      <c r="N41" s="11" t="s">
        <v>13</v>
      </c>
      <c r="O41" s="11" t="s">
        <v>55</v>
      </c>
      <c r="P41" s="11" t="s">
        <v>14</v>
      </c>
      <c r="Q41" s="11" t="s">
        <v>13</v>
      </c>
      <c r="R41" s="11" t="s">
        <v>55</v>
      </c>
      <c r="S41" s="11" t="s">
        <v>56</v>
      </c>
      <c r="T41" s="11" t="s">
        <v>14</v>
      </c>
      <c r="U41" s="11" t="s">
        <v>55</v>
      </c>
      <c r="V41" s="11" t="s">
        <v>56</v>
      </c>
      <c r="W41" s="11" t="s">
        <v>13</v>
      </c>
      <c r="X41" s="11" t="s">
        <v>13</v>
      </c>
      <c r="Y41" s="11" t="s">
        <v>14</v>
      </c>
      <c r="Z41" s="11" t="s">
        <v>55</v>
      </c>
      <c r="AA41" s="11" t="s">
        <v>56</v>
      </c>
      <c r="AB41" s="11" t="s">
        <v>14</v>
      </c>
      <c r="AC41" s="11" t="s">
        <v>55</v>
      </c>
      <c r="AD41" s="11" t="s">
        <v>56</v>
      </c>
      <c r="AE41" s="11" t="s">
        <v>13</v>
      </c>
      <c r="AF41" s="11" t="s">
        <v>14</v>
      </c>
      <c r="AG41" s="11" t="s">
        <v>13</v>
      </c>
      <c r="AH41" s="11" t="s">
        <v>55</v>
      </c>
      <c r="AI41" s="11" t="s">
        <v>56</v>
      </c>
      <c r="AJ41" s="11" t="s">
        <v>14</v>
      </c>
      <c r="AK41" s="11" t="s">
        <v>55</v>
      </c>
      <c r="AL41" s="11" t="s">
        <v>13</v>
      </c>
      <c r="AM41" s="11" t="s">
        <v>56</v>
      </c>
      <c r="AN41" s="11" t="s">
        <v>56</v>
      </c>
      <c r="AO41" s="11" t="s">
        <v>13</v>
      </c>
      <c r="AP41" s="11" t="s">
        <v>55</v>
      </c>
      <c r="AQ41" s="11" t="s">
        <v>14</v>
      </c>
      <c r="AR41" s="11" t="s">
        <v>57</v>
      </c>
      <c r="AS41" s="11" t="s">
        <v>55</v>
      </c>
      <c r="AT41" s="11" t="s">
        <v>13</v>
      </c>
      <c r="AU41" s="11" t="s">
        <v>57</v>
      </c>
      <c r="AV41" s="11" t="s">
        <v>55</v>
      </c>
      <c r="AW41" s="11" t="s">
        <v>13</v>
      </c>
      <c r="AX41" s="11" t="s">
        <v>13</v>
      </c>
      <c r="AY41" s="11" t="s">
        <v>57</v>
      </c>
      <c r="AZ41" s="11" t="s">
        <v>55</v>
      </c>
      <c r="BA41" s="11" t="s">
        <v>57</v>
      </c>
      <c r="BB41" s="11" t="s">
        <v>13</v>
      </c>
      <c r="BC41" s="11" t="s">
        <v>55</v>
      </c>
      <c r="BD41" s="11" t="s">
        <v>57</v>
      </c>
      <c r="BE41" s="11" t="s">
        <v>13</v>
      </c>
      <c r="BF41" s="11" t="s">
        <v>55</v>
      </c>
      <c r="BG41" s="11" t="s">
        <v>57</v>
      </c>
      <c r="BH41" s="11" t="s">
        <v>55</v>
      </c>
      <c r="BI41" s="11" t="s">
        <v>13</v>
      </c>
      <c r="BJ41" s="11" t="s">
        <v>57</v>
      </c>
      <c r="BK41" s="11" t="s">
        <v>13</v>
      </c>
      <c r="BL41" s="11" t="s">
        <v>55</v>
      </c>
      <c r="BM41" s="11" t="s">
        <v>57</v>
      </c>
      <c r="BN41" s="11" t="s">
        <v>13</v>
      </c>
      <c r="BO41" s="11" t="s">
        <v>55</v>
      </c>
      <c r="BP41" s="11" t="s">
        <v>57</v>
      </c>
      <c r="BQ41" s="11" t="s">
        <v>55</v>
      </c>
      <c r="BR41" s="11" t="s">
        <v>13</v>
      </c>
      <c r="BS41" s="11" t="s">
        <v>57</v>
      </c>
      <c r="BT41" s="11" t="s">
        <v>55</v>
      </c>
      <c r="BU41" s="11" t="s">
        <v>13</v>
      </c>
      <c r="BV41" s="11" t="s">
        <v>43</v>
      </c>
      <c r="BW41" s="13"/>
    </row>
    <row r="42" spans="1:75" ht="79.8" thickBot="1" x14ac:dyDescent="0.35">
      <c r="A42" s="6">
        <v>46150.521122685182</v>
      </c>
      <c r="B42" s="7" t="s">
        <v>25</v>
      </c>
      <c r="C42" s="7" t="s">
        <v>15</v>
      </c>
      <c r="D42" s="7" t="s">
        <v>14</v>
      </c>
      <c r="E42" s="7" t="s">
        <v>55</v>
      </c>
      <c r="F42" s="7" t="s">
        <v>56</v>
      </c>
      <c r="G42" s="7" t="s">
        <v>13</v>
      </c>
      <c r="H42" s="7" t="s">
        <v>55</v>
      </c>
      <c r="I42" s="7" t="s">
        <v>56</v>
      </c>
      <c r="J42" s="7" t="s">
        <v>14</v>
      </c>
      <c r="K42" s="7" t="s">
        <v>13</v>
      </c>
      <c r="L42" s="7" t="s">
        <v>14</v>
      </c>
      <c r="M42" s="7" t="s">
        <v>13</v>
      </c>
      <c r="N42" s="7" t="s">
        <v>55</v>
      </c>
      <c r="O42" s="7" t="s">
        <v>56</v>
      </c>
      <c r="P42" s="7" t="s">
        <v>14</v>
      </c>
      <c r="Q42" s="7" t="s">
        <v>55</v>
      </c>
      <c r="R42" s="7" t="s">
        <v>56</v>
      </c>
      <c r="S42" s="7" t="s">
        <v>13</v>
      </c>
      <c r="T42" s="7" t="s">
        <v>55</v>
      </c>
      <c r="U42" s="7" t="s">
        <v>56</v>
      </c>
      <c r="V42" s="7" t="s">
        <v>14</v>
      </c>
      <c r="W42" s="7" t="s">
        <v>13</v>
      </c>
      <c r="X42" s="7" t="s">
        <v>13</v>
      </c>
      <c r="Y42" s="7" t="s">
        <v>56</v>
      </c>
      <c r="Z42" s="7" t="s">
        <v>55</v>
      </c>
      <c r="AA42" s="7" t="s">
        <v>14</v>
      </c>
      <c r="AB42" s="7" t="s">
        <v>14</v>
      </c>
      <c r="AC42" s="7" t="s">
        <v>55</v>
      </c>
      <c r="AD42" s="7" t="s">
        <v>13</v>
      </c>
      <c r="AE42" s="7" t="s">
        <v>56</v>
      </c>
      <c r="AF42" s="7" t="s">
        <v>55</v>
      </c>
      <c r="AG42" s="7" t="s">
        <v>14</v>
      </c>
      <c r="AH42" s="7" t="s">
        <v>13</v>
      </c>
      <c r="AI42" s="7" t="s">
        <v>56</v>
      </c>
      <c r="AJ42" s="7" t="s">
        <v>56</v>
      </c>
      <c r="AK42" s="7" t="s">
        <v>55</v>
      </c>
      <c r="AL42" s="7" t="s">
        <v>14</v>
      </c>
      <c r="AM42" s="7" t="s">
        <v>13</v>
      </c>
      <c r="AN42" s="7" t="s">
        <v>13</v>
      </c>
      <c r="AO42" s="7" t="s">
        <v>14</v>
      </c>
      <c r="AP42" s="7" t="s">
        <v>55</v>
      </c>
      <c r="AQ42" s="7" t="s">
        <v>56</v>
      </c>
      <c r="AR42" s="7" t="s">
        <v>57</v>
      </c>
      <c r="AS42" s="7" t="s">
        <v>13</v>
      </c>
      <c r="AT42" s="7" t="s">
        <v>55</v>
      </c>
      <c r="AU42" s="7" t="s">
        <v>55</v>
      </c>
      <c r="AV42" s="7" t="s">
        <v>13</v>
      </c>
      <c r="AW42" s="7" t="s">
        <v>57</v>
      </c>
      <c r="AX42" s="7" t="s">
        <v>55</v>
      </c>
      <c r="AY42" s="7" t="s">
        <v>13</v>
      </c>
      <c r="AZ42" s="7" t="s">
        <v>57</v>
      </c>
      <c r="BA42" s="7" t="s">
        <v>55</v>
      </c>
      <c r="BB42" s="7" t="s">
        <v>13</v>
      </c>
      <c r="BC42" s="7" t="s">
        <v>57</v>
      </c>
      <c r="BD42" s="7" t="s">
        <v>13</v>
      </c>
      <c r="BE42" s="7" t="s">
        <v>57</v>
      </c>
      <c r="BF42" s="7" t="s">
        <v>55</v>
      </c>
      <c r="BG42" s="7" t="s">
        <v>13</v>
      </c>
      <c r="BH42" s="7" t="s">
        <v>55</v>
      </c>
      <c r="BI42" s="7" t="s">
        <v>57</v>
      </c>
      <c r="BJ42" s="7" t="s">
        <v>57</v>
      </c>
      <c r="BK42" s="7" t="s">
        <v>13</v>
      </c>
      <c r="BL42" s="7" t="s">
        <v>55</v>
      </c>
      <c r="BM42" s="7" t="s">
        <v>57</v>
      </c>
      <c r="BN42" s="7" t="s">
        <v>55</v>
      </c>
      <c r="BO42" s="7" t="s">
        <v>13</v>
      </c>
      <c r="BP42" s="7" t="s">
        <v>57</v>
      </c>
      <c r="BQ42" s="7" t="s">
        <v>55</v>
      </c>
      <c r="BR42" s="7" t="s">
        <v>13</v>
      </c>
      <c r="BS42" s="7" t="s">
        <v>55</v>
      </c>
      <c r="BT42" s="7" t="s">
        <v>57</v>
      </c>
      <c r="BU42" s="7" t="s">
        <v>13</v>
      </c>
      <c r="BV42" s="7" t="s">
        <v>44</v>
      </c>
      <c r="BW42" s="9"/>
    </row>
    <row r="43" spans="1:75" ht="79.8" thickBot="1" x14ac:dyDescent="0.35">
      <c r="A43" s="10">
        <v>46150.53837962963</v>
      </c>
      <c r="B43" s="11" t="s">
        <v>25</v>
      </c>
      <c r="C43" s="11" t="s">
        <v>15</v>
      </c>
      <c r="D43" s="11" t="s">
        <v>13</v>
      </c>
      <c r="E43" s="11" t="s">
        <v>56</v>
      </c>
      <c r="F43" s="11" t="s">
        <v>55</v>
      </c>
      <c r="G43" s="11" t="s">
        <v>14</v>
      </c>
      <c r="H43" s="11" t="s">
        <v>13</v>
      </c>
      <c r="I43" s="11" t="s">
        <v>14</v>
      </c>
      <c r="J43" s="11" t="s">
        <v>56</v>
      </c>
      <c r="K43" s="11" t="s">
        <v>55</v>
      </c>
      <c r="L43" s="11" t="s">
        <v>55</v>
      </c>
      <c r="M43" s="11" t="s">
        <v>13</v>
      </c>
      <c r="N43" s="11" t="s">
        <v>14</v>
      </c>
      <c r="O43" s="11" t="s">
        <v>56</v>
      </c>
      <c r="P43" s="11" t="s">
        <v>55</v>
      </c>
      <c r="Q43" s="11" t="s">
        <v>13</v>
      </c>
      <c r="R43" s="11" t="s">
        <v>14</v>
      </c>
      <c r="S43" s="11" t="s">
        <v>56</v>
      </c>
      <c r="T43" s="11" t="s">
        <v>55</v>
      </c>
      <c r="U43" s="11" t="s">
        <v>14</v>
      </c>
      <c r="V43" s="11" t="s">
        <v>13</v>
      </c>
      <c r="W43" s="11" t="s">
        <v>56</v>
      </c>
      <c r="X43" s="11" t="s">
        <v>55</v>
      </c>
      <c r="Y43" s="11" t="s">
        <v>13</v>
      </c>
      <c r="Z43" s="11" t="s">
        <v>14</v>
      </c>
      <c r="AA43" s="11" t="s">
        <v>56</v>
      </c>
      <c r="AB43" s="11" t="s">
        <v>55</v>
      </c>
      <c r="AC43" s="11" t="s">
        <v>13</v>
      </c>
      <c r="AD43" s="11" t="s">
        <v>14</v>
      </c>
      <c r="AE43" s="11" t="s">
        <v>56</v>
      </c>
      <c r="AF43" s="11" t="s">
        <v>55</v>
      </c>
      <c r="AG43" s="11" t="s">
        <v>13</v>
      </c>
      <c r="AH43" s="11" t="s">
        <v>14</v>
      </c>
      <c r="AI43" s="11" t="s">
        <v>56</v>
      </c>
      <c r="AJ43" s="11" t="s">
        <v>13</v>
      </c>
      <c r="AK43" s="11" t="s">
        <v>55</v>
      </c>
      <c r="AL43" s="11" t="s">
        <v>14</v>
      </c>
      <c r="AM43" s="11" t="s">
        <v>56</v>
      </c>
      <c r="AN43" s="11" t="s">
        <v>55</v>
      </c>
      <c r="AO43" s="11" t="s">
        <v>13</v>
      </c>
      <c r="AP43" s="11" t="s">
        <v>56</v>
      </c>
      <c r="AQ43" s="11" t="s">
        <v>14</v>
      </c>
      <c r="AR43" s="11" t="s">
        <v>57</v>
      </c>
      <c r="AS43" s="11" t="s">
        <v>13</v>
      </c>
      <c r="AT43" s="11" t="s">
        <v>55</v>
      </c>
      <c r="AU43" s="11" t="s">
        <v>55</v>
      </c>
      <c r="AV43" s="11" t="s">
        <v>57</v>
      </c>
      <c r="AW43" s="11" t="s">
        <v>13</v>
      </c>
      <c r="AX43" s="11" t="s">
        <v>13</v>
      </c>
      <c r="AY43" s="11" t="s">
        <v>55</v>
      </c>
      <c r="AZ43" s="11" t="s">
        <v>57</v>
      </c>
      <c r="BA43" s="11" t="s">
        <v>55</v>
      </c>
      <c r="BB43" s="11" t="s">
        <v>13</v>
      </c>
      <c r="BC43" s="11" t="s">
        <v>57</v>
      </c>
      <c r="BD43" s="11" t="s">
        <v>55</v>
      </c>
      <c r="BE43" s="11" t="s">
        <v>13</v>
      </c>
      <c r="BF43" s="11" t="s">
        <v>57</v>
      </c>
      <c r="BG43" s="11" t="s">
        <v>55</v>
      </c>
      <c r="BH43" s="11" t="s">
        <v>13</v>
      </c>
      <c r="BI43" s="11" t="s">
        <v>57</v>
      </c>
      <c r="BJ43" s="11" t="s">
        <v>13</v>
      </c>
      <c r="BK43" s="11" t="s">
        <v>55</v>
      </c>
      <c r="BL43" s="11" t="s">
        <v>57</v>
      </c>
      <c r="BM43" s="11" t="s">
        <v>13</v>
      </c>
      <c r="BN43" s="11" t="s">
        <v>55</v>
      </c>
      <c r="BO43" s="11" t="s">
        <v>57</v>
      </c>
      <c r="BP43" s="11" t="s">
        <v>55</v>
      </c>
      <c r="BQ43" s="11" t="s">
        <v>13</v>
      </c>
      <c r="BR43" s="11" t="s">
        <v>57</v>
      </c>
      <c r="BS43" s="11" t="s">
        <v>55</v>
      </c>
      <c r="BT43" s="11" t="s">
        <v>13</v>
      </c>
      <c r="BU43" s="11" t="s">
        <v>57</v>
      </c>
      <c r="BV43" s="11" t="s">
        <v>45</v>
      </c>
      <c r="BW43" s="13"/>
    </row>
    <row r="44" spans="1:75" ht="40.200000000000003" thickBot="1" x14ac:dyDescent="0.35">
      <c r="A44" s="6">
        <v>46150.551608796297</v>
      </c>
      <c r="B44" s="7" t="s">
        <v>23</v>
      </c>
      <c r="C44" s="7" t="s">
        <v>10</v>
      </c>
      <c r="D44" s="7" t="s">
        <v>56</v>
      </c>
      <c r="E44" s="7" t="s">
        <v>55</v>
      </c>
      <c r="F44" s="7" t="s">
        <v>14</v>
      </c>
      <c r="G44" s="7" t="s">
        <v>13</v>
      </c>
      <c r="H44" s="7" t="s">
        <v>55</v>
      </c>
      <c r="I44" s="7" t="s">
        <v>14</v>
      </c>
      <c r="J44" s="7" t="s">
        <v>56</v>
      </c>
      <c r="K44" s="7" t="s">
        <v>13</v>
      </c>
      <c r="L44" s="7" t="s">
        <v>14</v>
      </c>
      <c r="M44" s="7" t="s">
        <v>13</v>
      </c>
      <c r="N44" s="7" t="s">
        <v>55</v>
      </c>
      <c r="O44" s="7" t="s">
        <v>56</v>
      </c>
      <c r="P44" s="7" t="s">
        <v>55</v>
      </c>
      <c r="Q44" s="7" t="s">
        <v>56</v>
      </c>
      <c r="R44" s="7" t="s">
        <v>14</v>
      </c>
      <c r="S44" s="7" t="s">
        <v>13</v>
      </c>
      <c r="T44" s="7" t="s">
        <v>14</v>
      </c>
      <c r="U44" s="7" t="s">
        <v>55</v>
      </c>
      <c r="V44" s="7" t="s">
        <v>13</v>
      </c>
      <c r="W44" s="7" t="s">
        <v>56</v>
      </c>
      <c r="X44" s="7" t="s">
        <v>13</v>
      </c>
      <c r="Y44" s="7" t="s">
        <v>14</v>
      </c>
      <c r="Z44" s="7" t="s">
        <v>55</v>
      </c>
      <c r="AA44" s="7" t="s">
        <v>56</v>
      </c>
      <c r="AB44" s="7" t="s">
        <v>13</v>
      </c>
      <c r="AC44" s="7" t="s">
        <v>56</v>
      </c>
      <c r="AD44" s="7" t="s">
        <v>55</v>
      </c>
      <c r="AE44" s="7" t="s">
        <v>14</v>
      </c>
      <c r="AF44" s="7" t="s">
        <v>56</v>
      </c>
      <c r="AG44" s="7" t="s">
        <v>13</v>
      </c>
      <c r="AH44" s="7" t="s">
        <v>14</v>
      </c>
      <c r="AI44" s="7" t="s">
        <v>55</v>
      </c>
      <c r="AJ44" s="7" t="s">
        <v>55</v>
      </c>
      <c r="AK44" s="7" t="s">
        <v>13</v>
      </c>
      <c r="AL44" s="7" t="s">
        <v>14</v>
      </c>
      <c r="AM44" s="7" t="s">
        <v>56</v>
      </c>
      <c r="AN44" s="7" t="s">
        <v>55</v>
      </c>
      <c r="AO44" s="7" t="s">
        <v>56</v>
      </c>
      <c r="AP44" s="7" t="s">
        <v>13</v>
      </c>
      <c r="AQ44" s="7" t="s">
        <v>14</v>
      </c>
      <c r="AR44" s="7" t="s">
        <v>57</v>
      </c>
      <c r="AS44" s="7" t="s">
        <v>13</v>
      </c>
      <c r="AT44" s="7" t="s">
        <v>55</v>
      </c>
      <c r="AU44" s="7" t="s">
        <v>13</v>
      </c>
      <c r="AV44" s="7" t="s">
        <v>57</v>
      </c>
      <c r="AW44" s="7" t="s">
        <v>55</v>
      </c>
      <c r="AX44" s="7" t="s">
        <v>13</v>
      </c>
      <c r="AY44" s="7" t="s">
        <v>55</v>
      </c>
      <c r="AZ44" s="7" t="s">
        <v>57</v>
      </c>
      <c r="BA44" s="7" t="s">
        <v>55</v>
      </c>
      <c r="BB44" s="7" t="s">
        <v>13</v>
      </c>
      <c r="BC44" s="7" t="s">
        <v>57</v>
      </c>
      <c r="BD44" s="7" t="s">
        <v>57</v>
      </c>
      <c r="BE44" s="7" t="s">
        <v>13</v>
      </c>
      <c r="BF44" s="7" t="s">
        <v>55</v>
      </c>
      <c r="BG44" s="7" t="s">
        <v>55</v>
      </c>
      <c r="BH44" s="7" t="s">
        <v>13</v>
      </c>
      <c r="BI44" s="7" t="s">
        <v>57</v>
      </c>
      <c r="BJ44" s="7" t="s">
        <v>57</v>
      </c>
      <c r="BK44" s="7" t="s">
        <v>13</v>
      </c>
      <c r="BL44" s="7" t="s">
        <v>55</v>
      </c>
      <c r="BM44" s="7" t="s">
        <v>13</v>
      </c>
      <c r="BN44" s="7" t="s">
        <v>55</v>
      </c>
      <c r="BO44" s="7" t="s">
        <v>57</v>
      </c>
      <c r="BP44" s="7" t="s">
        <v>55</v>
      </c>
      <c r="BQ44" s="7" t="s">
        <v>13</v>
      </c>
      <c r="BR44" s="7" t="s">
        <v>57</v>
      </c>
      <c r="BS44" s="7" t="s">
        <v>13</v>
      </c>
      <c r="BT44" s="7" t="s">
        <v>57</v>
      </c>
      <c r="BU44" s="7" t="s">
        <v>55</v>
      </c>
      <c r="BV44" s="7" t="s">
        <v>46</v>
      </c>
      <c r="BW44" s="9"/>
    </row>
    <row r="45" spans="1:75" ht="40.200000000000003" thickBot="1" x14ac:dyDescent="0.35">
      <c r="A45" s="10">
        <v>46150.585625</v>
      </c>
      <c r="B45" s="11" t="s">
        <v>25</v>
      </c>
      <c r="C45" s="11" t="s">
        <v>10</v>
      </c>
      <c r="D45" s="11" t="s">
        <v>56</v>
      </c>
      <c r="E45" s="11" t="s">
        <v>14</v>
      </c>
      <c r="F45" s="11" t="s">
        <v>13</v>
      </c>
      <c r="G45" s="11" t="s">
        <v>55</v>
      </c>
      <c r="H45" s="11" t="s">
        <v>13</v>
      </c>
      <c r="I45" s="11" t="s">
        <v>14</v>
      </c>
      <c r="J45" s="11" t="s">
        <v>56</v>
      </c>
      <c r="K45" s="11" t="s">
        <v>55</v>
      </c>
      <c r="L45" s="11" t="s">
        <v>14</v>
      </c>
      <c r="M45" s="11" t="s">
        <v>55</v>
      </c>
      <c r="N45" s="11" t="s">
        <v>56</v>
      </c>
      <c r="O45" s="11" t="s">
        <v>13</v>
      </c>
      <c r="P45" s="11" t="s">
        <v>14</v>
      </c>
      <c r="Q45" s="11" t="s">
        <v>13</v>
      </c>
      <c r="R45" s="11" t="s">
        <v>56</v>
      </c>
      <c r="S45" s="11" t="s">
        <v>55</v>
      </c>
      <c r="T45" s="11" t="s">
        <v>55</v>
      </c>
      <c r="U45" s="11" t="s">
        <v>14</v>
      </c>
      <c r="V45" s="11" t="s">
        <v>13</v>
      </c>
      <c r="W45" s="11" t="s">
        <v>56</v>
      </c>
      <c r="X45" s="11" t="s">
        <v>55</v>
      </c>
      <c r="Y45" s="11" t="s">
        <v>14</v>
      </c>
      <c r="Z45" s="11" t="s">
        <v>13</v>
      </c>
      <c r="AA45" s="11" t="s">
        <v>56</v>
      </c>
      <c r="AB45" s="11" t="s">
        <v>55</v>
      </c>
      <c r="AC45" s="11" t="s">
        <v>13</v>
      </c>
      <c r="AD45" s="11" t="s">
        <v>14</v>
      </c>
      <c r="AE45" s="11" t="s">
        <v>56</v>
      </c>
      <c r="AF45" s="11" t="s">
        <v>55</v>
      </c>
      <c r="AG45" s="11" t="s">
        <v>14</v>
      </c>
      <c r="AH45" s="11" t="s">
        <v>13</v>
      </c>
      <c r="AI45" s="11" t="s">
        <v>56</v>
      </c>
      <c r="AJ45" s="11" t="s">
        <v>55</v>
      </c>
      <c r="AK45" s="11" t="s">
        <v>56</v>
      </c>
      <c r="AL45" s="11" t="s">
        <v>14</v>
      </c>
      <c r="AM45" s="11" t="s">
        <v>13</v>
      </c>
      <c r="AN45" s="11" t="s">
        <v>14</v>
      </c>
      <c r="AO45" s="11" t="s">
        <v>55</v>
      </c>
      <c r="AP45" s="11" t="s">
        <v>13</v>
      </c>
      <c r="AQ45" s="11" t="s">
        <v>56</v>
      </c>
      <c r="AR45" s="11" t="s">
        <v>57</v>
      </c>
      <c r="AS45" s="11" t="s">
        <v>13</v>
      </c>
      <c r="AT45" s="11" t="s">
        <v>55</v>
      </c>
      <c r="AU45" s="11" t="s">
        <v>55</v>
      </c>
      <c r="AV45" s="11" t="s">
        <v>57</v>
      </c>
      <c r="AW45" s="11" t="s">
        <v>13</v>
      </c>
      <c r="AX45" s="11" t="s">
        <v>13</v>
      </c>
      <c r="AY45" s="11" t="s">
        <v>55</v>
      </c>
      <c r="AZ45" s="11" t="s">
        <v>57</v>
      </c>
      <c r="BA45" s="11" t="s">
        <v>57</v>
      </c>
      <c r="BB45" s="11" t="s">
        <v>13</v>
      </c>
      <c r="BC45" s="11" t="s">
        <v>55</v>
      </c>
      <c r="BD45" s="11" t="s">
        <v>57</v>
      </c>
      <c r="BE45" s="11" t="s">
        <v>13</v>
      </c>
      <c r="BF45" s="11" t="s">
        <v>55</v>
      </c>
      <c r="BG45" s="11" t="s">
        <v>57</v>
      </c>
      <c r="BH45" s="11" t="s">
        <v>13</v>
      </c>
      <c r="BI45" s="11" t="s">
        <v>55</v>
      </c>
      <c r="BJ45" s="11" t="s">
        <v>57</v>
      </c>
      <c r="BK45" s="11" t="s">
        <v>13</v>
      </c>
      <c r="BL45" s="11" t="s">
        <v>55</v>
      </c>
      <c r="BM45" s="11" t="s">
        <v>57</v>
      </c>
      <c r="BN45" s="11" t="s">
        <v>55</v>
      </c>
      <c r="BO45" s="11" t="s">
        <v>13</v>
      </c>
      <c r="BP45" s="11" t="s">
        <v>55</v>
      </c>
      <c r="BQ45" s="11" t="s">
        <v>57</v>
      </c>
      <c r="BR45" s="11" t="s">
        <v>13</v>
      </c>
      <c r="BS45" s="11" t="s">
        <v>55</v>
      </c>
      <c r="BT45" s="11" t="s">
        <v>13</v>
      </c>
      <c r="BU45" s="11" t="s">
        <v>57</v>
      </c>
      <c r="BV45" s="11" t="s">
        <v>47</v>
      </c>
      <c r="BW45" s="13"/>
    </row>
    <row r="46" spans="1:75" ht="53.4" thickBot="1" x14ac:dyDescent="0.35">
      <c r="A46" s="6">
        <v>46152.985393518517</v>
      </c>
      <c r="B46" s="7" t="s">
        <v>17</v>
      </c>
      <c r="C46" s="7" t="s">
        <v>10</v>
      </c>
      <c r="D46" s="7" t="s">
        <v>14</v>
      </c>
      <c r="E46" s="7" t="s">
        <v>56</v>
      </c>
      <c r="F46" s="7" t="s">
        <v>13</v>
      </c>
      <c r="G46" s="7" t="s">
        <v>55</v>
      </c>
      <c r="H46" s="7" t="s">
        <v>13</v>
      </c>
      <c r="I46" s="7" t="s">
        <v>14</v>
      </c>
      <c r="J46" s="7" t="s">
        <v>56</v>
      </c>
      <c r="K46" s="7" t="s">
        <v>55</v>
      </c>
      <c r="L46" s="7" t="s">
        <v>13</v>
      </c>
      <c r="M46" s="7" t="s">
        <v>14</v>
      </c>
      <c r="N46" s="7" t="s">
        <v>56</v>
      </c>
      <c r="O46" s="7" t="s">
        <v>55</v>
      </c>
      <c r="P46" s="7" t="s">
        <v>55</v>
      </c>
      <c r="Q46" s="7" t="s">
        <v>56</v>
      </c>
      <c r="R46" s="7" t="s">
        <v>14</v>
      </c>
      <c r="S46" s="7" t="s">
        <v>13</v>
      </c>
      <c r="T46" s="7" t="s">
        <v>55</v>
      </c>
      <c r="U46" s="7" t="s">
        <v>56</v>
      </c>
      <c r="V46" s="7" t="s">
        <v>13</v>
      </c>
      <c r="W46" s="7" t="s">
        <v>14</v>
      </c>
      <c r="X46" s="7" t="s">
        <v>55</v>
      </c>
      <c r="Y46" s="7" t="s">
        <v>14</v>
      </c>
      <c r="Z46" s="7" t="s">
        <v>56</v>
      </c>
      <c r="AA46" s="7" t="s">
        <v>13</v>
      </c>
      <c r="AB46" s="7" t="s">
        <v>55</v>
      </c>
      <c r="AC46" s="7" t="s">
        <v>56</v>
      </c>
      <c r="AD46" s="7" t="s">
        <v>13</v>
      </c>
      <c r="AE46" s="7" t="s">
        <v>14</v>
      </c>
      <c r="AF46" s="7" t="s">
        <v>13</v>
      </c>
      <c r="AG46" s="7" t="s">
        <v>14</v>
      </c>
      <c r="AH46" s="7" t="s">
        <v>56</v>
      </c>
      <c r="AI46" s="7" t="s">
        <v>55</v>
      </c>
      <c r="AJ46" s="7" t="s">
        <v>55</v>
      </c>
      <c r="AK46" s="7" t="s">
        <v>13</v>
      </c>
      <c r="AL46" s="7" t="s">
        <v>56</v>
      </c>
      <c r="AM46" s="7" t="s">
        <v>14</v>
      </c>
      <c r="AN46" s="7" t="s">
        <v>56</v>
      </c>
      <c r="AO46" s="7" t="s">
        <v>13</v>
      </c>
      <c r="AP46" s="7" t="s">
        <v>14</v>
      </c>
      <c r="AQ46" s="7" t="s">
        <v>55</v>
      </c>
      <c r="AR46" s="7" t="s">
        <v>13</v>
      </c>
      <c r="AS46" s="7" t="s">
        <v>55</v>
      </c>
      <c r="AT46" s="7" t="s">
        <v>57</v>
      </c>
      <c r="AU46" s="7" t="s">
        <v>57</v>
      </c>
      <c r="AV46" s="7" t="s">
        <v>13</v>
      </c>
      <c r="AW46" s="7" t="s">
        <v>55</v>
      </c>
      <c r="AX46" s="7" t="s">
        <v>13</v>
      </c>
      <c r="AY46" s="7" t="s">
        <v>55</v>
      </c>
      <c r="AZ46" s="7" t="s">
        <v>57</v>
      </c>
      <c r="BA46" s="7" t="s">
        <v>55</v>
      </c>
      <c r="BB46" s="7" t="s">
        <v>57</v>
      </c>
      <c r="BC46" s="7" t="s">
        <v>13</v>
      </c>
      <c r="BD46" s="7" t="s">
        <v>13</v>
      </c>
      <c r="BE46" s="7" t="s">
        <v>55</v>
      </c>
      <c r="BF46" s="7" t="s">
        <v>57</v>
      </c>
      <c r="BG46" s="7" t="s">
        <v>55</v>
      </c>
      <c r="BH46" s="7" t="s">
        <v>13</v>
      </c>
      <c r="BI46" s="7" t="s">
        <v>57</v>
      </c>
      <c r="BJ46" s="7" t="s">
        <v>57</v>
      </c>
      <c r="BK46" s="7" t="s">
        <v>55</v>
      </c>
      <c r="BL46" s="7" t="s">
        <v>13</v>
      </c>
      <c r="BM46" s="7" t="s">
        <v>13</v>
      </c>
      <c r="BN46" s="7" t="s">
        <v>55</v>
      </c>
      <c r="BO46" s="7" t="s">
        <v>57</v>
      </c>
      <c r="BP46" s="7" t="s">
        <v>55</v>
      </c>
      <c r="BQ46" s="7" t="s">
        <v>13</v>
      </c>
      <c r="BR46" s="7" t="s">
        <v>57</v>
      </c>
      <c r="BS46" s="7" t="s">
        <v>13</v>
      </c>
      <c r="BT46" s="7" t="s">
        <v>55</v>
      </c>
      <c r="BU46" s="7" t="s">
        <v>57</v>
      </c>
      <c r="BV46" s="7" t="s">
        <v>48</v>
      </c>
      <c r="BW46" s="9"/>
    </row>
    <row r="47" spans="1:75" ht="40.200000000000003" thickBot="1" x14ac:dyDescent="0.35">
      <c r="A47" s="10">
        <v>46153.727083333331</v>
      </c>
      <c r="B47" s="11" t="s">
        <v>9</v>
      </c>
      <c r="C47" s="11" t="s">
        <v>10</v>
      </c>
      <c r="D47" s="11" t="s">
        <v>56</v>
      </c>
      <c r="E47" s="11" t="s">
        <v>14</v>
      </c>
      <c r="F47" s="11" t="s">
        <v>13</v>
      </c>
      <c r="G47" s="11" t="s">
        <v>55</v>
      </c>
      <c r="H47" s="11" t="s">
        <v>55</v>
      </c>
      <c r="I47" s="11" t="s">
        <v>14</v>
      </c>
      <c r="J47" s="11" t="s">
        <v>56</v>
      </c>
      <c r="K47" s="11" t="s">
        <v>13</v>
      </c>
      <c r="L47" s="11" t="s">
        <v>13</v>
      </c>
      <c r="M47" s="11" t="s">
        <v>14</v>
      </c>
      <c r="N47" s="11" t="s">
        <v>56</v>
      </c>
      <c r="O47" s="11" t="s">
        <v>55</v>
      </c>
      <c r="P47" s="11" t="s">
        <v>55</v>
      </c>
      <c r="Q47" s="11" t="s">
        <v>13</v>
      </c>
      <c r="R47" s="11" t="s">
        <v>56</v>
      </c>
      <c r="S47" s="11" t="s">
        <v>14</v>
      </c>
      <c r="T47" s="11" t="s">
        <v>14</v>
      </c>
      <c r="U47" s="11" t="s">
        <v>56</v>
      </c>
      <c r="V47" s="11" t="s">
        <v>55</v>
      </c>
      <c r="W47" s="11" t="s">
        <v>13</v>
      </c>
      <c r="X47" s="11" t="s">
        <v>14</v>
      </c>
      <c r="Y47" s="11" t="s">
        <v>13</v>
      </c>
      <c r="Z47" s="11" t="s">
        <v>56</v>
      </c>
      <c r="AA47" s="11" t="s">
        <v>55</v>
      </c>
      <c r="AB47" s="11" t="s">
        <v>14</v>
      </c>
      <c r="AC47" s="11" t="s">
        <v>56</v>
      </c>
      <c r="AD47" s="11" t="s">
        <v>55</v>
      </c>
      <c r="AE47" s="11" t="s">
        <v>13</v>
      </c>
      <c r="AF47" s="11" t="s">
        <v>55</v>
      </c>
      <c r="AG47" s="11" t="s">
        <v>13</v>
      </c>
      <c r="AH47" s="11" t="s">
        <v>56</v>
      </c>
      <c r="AI47" s="11" t="s">
        <v>14</v>
      </c>
      <c r="AJ47" s="11" t="s">
        <v>55</v>
      </c>
      <c r="AK47" s="11" t="s">
        <v>14</v>
      </c>
      <c r="AL47" s="11" t="s">
        <v>13</v>
      </c>
      <c r="AM47" s="11" t="s">
        <v>56</v>
      </c>
      <c r="AN47" s="11" t="s">
        <v>13</v>
      </c>
      <c r="AO47" s="11" t="s">
        <v>56</v>
      </c>
      <c r="AP47" s="11" t="s">
        <v>14</v>
      </c>
      <c r="AQ47" s="11" t="s">
        <v>55</v>
      </c>
      <c r="AR47" s="11" t="s">
        <v>55</v>
      </c>
      <c r="AS47" s="11" t="s">
        <v>13</v>
      </c>
      <c r="AT47" s="11" t="s">
        <v>57</v>
      </c>
      <c r="AU47" s="11" t="s">
        <v>57</v>
      </c>
      <c r="AV47" s="11" t="s">
        <v>13</v>
      </c>
      <c r="AW47" s="11" t="s">
        <v>55</v>
      </c>
      <c r="AX47" s="11" t="s">
        <v>13</v>
      </c>
      <c r="AY47" s="11" t="s">
        <v>57</v>
      </c>
      <c r="AZ47" s="11" t="s">
        <v>55</v>
      </c>
      <c r="BA47" s="11" t="s">
        <v>55</v>
      </c>
      <c r="BB47" s="11" t="s">
        <v>13</v>
      </c>
      <c r="BC47" s="11" t="s">
        <v>57</v>
      </c>
      <c r="BD47" s="11" t="s">
        <v>55</v>
      </c>
      <c r="BE47" s="11" t="s">
        <v>13</v>
      </c>
      <c r="BF47" s="11" t="s">
        <v>57</v>
      </c>
      <c r="BG47" s="11" t="s">
        <v>55</v>
      </c>
      <c r="BH47" s="11" t="s">
        <v>57</v>
      </c>
      <c r="BI47" s="11" t="s">
        <v>13</v>
      </c>
      <c r="BJ47" s="11" t="s">
        <v>57</v>
      </c>
      <c r="BK47" s="11" t="s">
        <v>55</v>
      </c>
      <c r="BL47" s="11" t="s">
        <v>13</v>
      </c>
      <c r="BM47" s="11" t="s">
        <v>57</v>
      </c>
      <c r="BN47" s="11" t="s">
        <v>13</v>
      </c>
      <c r="BO47" s="11" t="s">
        <v>55</v>
      </c>
      <c r="BP47" s="11" t="s">
        <v>55</v>
      </c>
      <c r="BQ47" s="11" t="s">
        <v>13</v>
      </c>
      <c r="BR47" s="11" t="s">
        <v>57</v>
      </c>
      <c r="BS47" s="11" t="s">
        <v>55</v>
      </c>
      <c r="BT47" s="11" t="s">
        <v>13</v>
      </c>
      <c r="BU47" s="11" t="s">
        <v>57</v>
      </c>
      <c r="BV47" s="11" t="s">
        <v>49</v>
      </c>
      <c r="BW47" s="13"/>
    </row>
    <row r="48" spans="1:75" ht="53.4" thickBot="1" x14ac:dyDescent="0.35">
      <c r="A48" s="6">
        <v>46153.728402777779</v>
      </c>
      <c r="B48" s="7" t="s">
        <v>9</v>
      </c>
      <c r="C48" s="7" t="s">
        <v>10</v>
      </c>
      <c r="D48" s="7" t="s">
        <v>14</v>
      </c>
      <c r="E48" s="7" t="s">
        <v>56</v>
      </c>
      <c r="F48" s="7" t="s">
        <v>13</v>
      </c>
      <c r="G48" s="7" t="s">
        <v>55</v>
      </c>
      <c r="H48" s="7" t="s">
        <v>55</v>
      </c>
      <c r="I48" s="7" t="s">
        <v>14</v>
      </c>
      <c r="J48" s="7" t="s">
        <v>56</v>
      </c>
      <c r="K48" s="7" t="s">
        <v>13</v>
      </c>
      <c r="L48" s="7" t="s">
        <v>55</v>
      </c>
      <c r="M48" s="7" t="s">
        <v>56</v>
      </c>
      <c r="N48" s="7" t="s">
        <v>13</v>
      </c>
      <c r="O48" s="7" t="s">
        <v>14</v>
      </c>
      <c r="P48" s="7" t="s">
        <v>55</v>
      </c>
      <c r="Q48" s="7" t="s">
        <v>56</v>
      </c>
      <c r="R48" s="7" t="s">
        <v>13</v>
      </c>
      <c r="S48" s="7" t="s">
        <v>14</v>
      </c>
      <c r="T48" s="7" t="s">
        <v>55</v>
      </c>
      <c r="U48" s="7" t="s">
        <v>56</v>
      </c>
      <c r="V48" s="7" t="s">
        <v>13</v>
      </c>
      <c r="W48" s="7" t="s">
        <v>14</v>
      </c>
      <c r="X48" s="7" t="s">
        <v>56</v>
      </c>
      <c r="Y48" s="7" t="s">
        <v>13</v>
      </c>
      <c r="Z48" s="7" t="s">
        <v>14</v>
      </c>
      <c r="AA48" s="7" t="s">
        <v>55</v>
      </c>
      <c r="AB48" s="7" t="s">
        <v>55</v>
      </c>
      <c r="AC48" s="7" t="s">
        <v>56</v>
      </c>
      <c r="AD48" s="7" t="s">
        <v>13</v>
      </c>
      <c r="AE48" s="7" t="s">
        <v>14</v>
      </c>
      <c r="AF48" s="7" t="s">
        <v>13</v>
      </c>
      <c r="AG48" s="7" t="s">
        <v>14</v>
      </c>
      <c r="AH48" s="7" t="s">
        <v>56</v>
      </c>
      <c r="AI48" s="7" t="s">
        <v>55</v>
      </c>
      <c r="AJ48" s="7" t="s">
        <v>55</v>
      </c>
      <c r="AK48" s="7" t="s">
        <v>13</v>
      </c>
      <c r="AL48" s="7" t="s">
        <v>14</v>
      </c>
      <c r="AM48" s="7" t="s">
        <v>56</v>
      </c>
      <c r="AN48" s="7" t="s">
        <v>56</v>
      </c>
      <c r="AO48" s="7" t="s">
        <v>13</v>
      </c>
      <c r="AP48" s="7" t="s">
        <v>55</v>
      </c>
      <c r="AQ48" s="7" t="s">
        <v>14</v>
      </c>
      <c r="AR48" s="7" t="s">
        <v>57</v>
      </c>
      <c r="AS48" s="7" t="s">
        <v>13</v>
      </c>
      <c r="AT48" s="7" t="s">
        <v>55</v>
      </c>
      <c r="AU48" s="7" t="s">
        <v>13</v>
      </c>
      <c r="AV48" s="7" t="s">
        <v>57</v>
      </c>
      <c r="AW48" s="7" t="s">
        <v>55</v>
      </c>
      <c r="AX48" s="7" t="s">
        <v>57</v>
      </c>
      <c r="AY48" s="7" t="s">
        <v>55</v>
      </c>
      <c r="AZ48" s="7" t="s">
        <v>13</v>
      </c>
      <c r="BA48" s="7" t="s">
        <v>55</v>
      </c>
      <c r="BB48" s="7" t="s">
        <v>13</v>
      </c>
      <c r="BC48" s="7" t="s">
        <v>57</v>
      </c>
      <c r="BD48" s="7" t="s">
        <v>57</v>
      </c>
      <c r="BE48" s="7" t="s">
        <v>13</v>
      </c>
      <c r="BF48" s="7" t="s">
        <v>55</v>
      </c>
      <c r="BG48" s="7" t="s">
        <v>55</v>
      </c>
      <c r="BH48" s="7" t="s">
        <v>57</v>
      </c>
      <c r="BI48" s="7" t="s">
        <v>13</v>
      </c>
      <c r="BJ48" s="7" t="s">
        <v>57</v>
      </c>
      <c r="BK48" s="7" t="s">
        <v>55</v>
      </c>
      <c r="BL48" s="7" t="s">
        <v>13</v>
      </c>
      <c r="BM48" s="7" t="s">
        <v>55</v>
      </c>
      <c r="BN48" s="7" t="s">
        <v>57</v>
      </c>
      <c r="BO48" s="7" t="s">
        <v>13</v>
      </c>
      <c r="BP48" s="7" t="s">
        <v>55</v>
      </c>
      <c r="BQ48" s="7" t="s">
        <v>13</v>
      </c>
      <c r="BR48" s="7" t="s">
        <v>57</v>
      </c>
      <c r="BS48" s="7" t="s">
        <v>55</v>
      </c>
      <c r="BT48" s="7" t="s">
        <v>13</v>
      </c>
      <c r="BU48" s="7" t="s">
        <v>57</v>
      </c>
      <c r="BV48" s="7" t="s">
        <v>50</v>
      </c>
      <c r="BW48" s="9"/>
    </row>
    <row r="49" spans="1:75" ht="53.4" thickBot="1" x14ac:dyDescent="0.35">
      <c r="A49" s="10">
        <v>46153.731192129628</v>
      </c>
      <c r="B49" s="11" t="s">
        <v>9</v>
      </c>
      <c r="C49" s="11" t="s">
        <v>10</v>
      </c>
      <c r="D49" s="11" t="s">
        <v>13</v>
      </c>
      <c r="E49" s="11" t="s">
        <v>56</v>
      </c>
      <c r="F49" s="11" t="s">
        <v>55</v>
      </c>
      <c r="G49" s="11" t="s">
        <v>14</v>
      </c>
      <c r="H49" s="11" t="s">
        <v>13</v>
      </c>
      <c r="I49" s="11" t="s">
        <v>14</v>
      </c>
      <c r="J49" s="11" t="s">
        <v>56</v>
      </c>
      <c r="K49" s="11" t="s">
        <v>55</v>
      </c>
      <c r="L49" s="11" t="s">
        <v>56</v>
      </c>
      <c r="M49" s="11" t="s">
        <v>13</v>
      </c>
      <c r="N49" s="11" t="s">
        <v>55</v>
      </c>
      <c r="O49" s="11" t="s">
        <v>14</v>
      </c>
      <c r="P49" s="11" t="s">
        <v>55</v>
      </c>
      <c r="Q49" s="11" t="s">
        <v>14</v>
      </c>
      <c r="R49" s="11" t="s">
        <v>13</v>
      </c>
      <c r="S49" s="11" t="s">
        <v>56</v>
      </c>
      <c r="T49" s="11" t="s">
        <v>13</v>
      </c>
      <c r="U49" s="11" t="s">
        <v>56</v>
      </c>
      <c r="V49" s="11" t="s">
        <v>55</v>
      </c>
      <c r="W49" s="11" t="s">
        <v>14</v>
      </c>
      <c r="X49" s="11" t="s">
        <v>55</v>
      </c>
      <c r="Y49" s="11" t="s">
        <v>13</v>
      </c>
      <c r="Z49" s="11" t="s">
        <v>56</v>
      </c>
      <c r="AA49" s="11" t="s">
        <v>14</v>
      </c>
      <c r="AB49" s="11" t="s">
        <v>13</v>
      </c>
      <c r="AC49" s="11" t="s">
        <v>56</v>
      </c>
      <c r="AD49" s="11" t="s">
        <v>55</v>
      </c>
      <c r="AE49" s="11" t="s">
        <v>14</v>
      </c>
      <c r="AF49" s="11" t="s">
        <v>14</v>
      </c>
      <c r="AG49" s="11" t="s">
        <v>13</v>
      </c>
      <c r="AH49" s="11" t="s">
        <v>56</v>
      </c>
      <c r="AI49" s="11" t="s">
        <v>55</v>
      </c>
      <c r="AJ49" s="11" t="s">
        <v>55</v>
      </c>
      <c r="AK49" s="11" t="s">
        <v>14</v>
      </c>
      <c r="AL49" s="11" t="s">
        <v>13</v>
      </c>
      <c r="AM49" s="11" t="s">
        <v>56</v>
      </c>
      <c r="AN49" s="11" t="s">
        <v>13</v>
      </c>
      <c r="AO49" s="11" t="s">
        <v>56</v>
      </c>
      <c r="AP49" s="11" t="s">
        <v>14</v>
      </c>
      <c r="AQ49" s="11" t="s">
        <v>55</v>
      </c>
      <c r="AR49" s="11" t="s">
        <v>57</v>
      </c>
      <c r="AS49" s="11" t="s">
        <v>55</v>
      </c>
      <c r="AT49" s="11" t="s">
        <v>13</v>
      </c>
      <c r="AU49" s="11" t="s">
        <v>57</v>
      </c>
      <c r="AV49" s="11" t="s">
        <v>13</v>
      </c>
      <c r="AW49" s="11" t="s">
        <v>55</v>
      </c>
      <c r="AX49" s="11" t="s">
        <v>55</v>
      </c>
      <c r="AY49" s="11" t="s">
        <v>57</v>
      </c>
      <c r="AZ49" s="11" t="s">
        <v>13</v>
      </c>
      <c r="BA49" s="11" t="s">
        <v>13</v>
      </c>
      <c r="BB49" s="11" t="s">
        <v>55</v>
      </c>
      <c r="BC49" s="11" t="s">
        <v>57</v>
      </c>
      <c r="BD49" s="11" t="s">
        <v>13</v>
      </c>
      <c r="BE49" s="11" t="s">
        <v>57</v>
      </c>
      <c r="BF49" s="11" t="s">
        <v>55</v>
      </c>
      <c r="BG49" s="11" t="s">
        <v>55</v>
      </c>
      <c r="BH49" s="11" t="s">
        <v>57</v>
      </c>
      <c r="BI49" s="11" t="s">
        <v>13</v>
      </c>
      <c r="BJ49" s="11" t="s">
        <v>57</v>
      </c>
      <c r="BK49" s="11" t="s">
        <v>55</v>
      </c>
      <c r="BL49" s="11" t="s">
        <v>13</v>
      </c>
      <c r="BM49" s="11" t="s">
        <v>57</v>
      </c>
      <c r="BN49" s="11" t="s">
        <v>13</v>
      </c>
      <c r="BO49" s="11" t="s">
        <v>55</v>
      </c>
      <c r="BP49" s="11" t="s">
        <v>13</v>
      </c>
      <c r="BQ49" s="11" t="s">
        <v>55</v>
      </c>
      <c r="BR49" s="11" t="s">
        <v>57</v>
      </c>
      <c r="BS49" s="11" t="s">
        <v>13</v>
      </c>
      <c r="BT49" s="11" t="s">
        <v>55</v>
      </c>
      <c r="BU49" s="11" t="s">
        <v>57</v>
      </c>
      <c r="BV49" s="11" t="s">
        <v>51</v>
      </c>
      <c r="BW49" s="13"/>
    </row>
    <row r="50" spans="1:75" ht="79.8" thickBot="1" x14ac:dyDescent="0.35">
      <c r="A50" s="6">
        <v>46153.810266203705</v>
      </c>
      <c r="B50" s="7" t="s">
        <v>9</v>
      </c>
      <c r="C50" s="7" t="s">
        <v>15</v>
      </c>
      <c r="D50" s="7" t="s">
        <v>55</v>
      </c>
      <c r="E50" s="7" t="s">
        <v>56</v>
      </c>
      <c r="F50" s="7" t="s">
        <v>13</v>
      </c>
      <c r="G50" s="7" t="s">
        <v>14</v>
      </c>
      <c r="H50" s="7" t="s">
        <v>55</v>
      </c>
      <c r="I50" s="7" t="s">
        <v>14</v>
      </c>
      <c r="J50" s="7" t="s">
        <v>56</v>
      </c>
      <c r="K50" s="7" t="s">
        <v>13</v>
      </c>
      <c r="L50" s="7" t="s">
        <v>56</v>
      </c>
      <c r="M50" s="7" t="s">
        <v>13</v>
      </c>
      <c r="N50" s="7" t="s">
        <v>14</v>
      </c>
      <c r="O50" s="7" t="s">
        <v>55</v>
      </c>
      <c r="P50" s="7" t="s">
        <v>55</v>
      </c>
      <c r="Q50" s="7" t="s">
        <v>56</v>
      </c>
      <c r="R50" s="7" t="s">
        <v>13</v>
      </c>
      <c r="S50" s="7" t="s">
        <v>14</v>
      </c>
      <c r="T50" s="7" t="s">
        <v>55</v>
      </c>
      <c r="U50" s="7" t="s">
        <v>56</v>
      </c>
      <c r="V50" s="7" t="s">
        <v>13</v>
      </c>
      <c r="W50" s="7" t="s">
        <v>14</v>
      </c>
      <c r="X50" s="7" t="s">
        <v>14</v>
      </c>
      <c r="Y50" s="7" t="s">
        <v>13</v>
      </c>
      <c r="Z50" s="7" t="s">
        <v>56</v>
      </c>
      <c r="AA50" s="7" t="s">
        <v>55</v>
      </c>
      <c r="AB50" s="7" t="s">
        <v>55</v>
      </c>
      <c r="AC50" s="7" t="s">
        <v>56</v>
      </c>
      <c r="AD50" s="7" t="s">
        <v>13</v>
      </c>
      <c r="AE50" s="7" t="s">
        <v>14</v>
      </c>
      <c r="AF50" s="7" t="s">
        <v>14</v>
      </c>
      <c r="AG50" s="7" t="s">
        <v>13</v>
      </c>
      <c r="AH50" s="7" t="s">
        <v>56</v>
      </c>
      <c r="AI50" s="7" t="s">
        <v>55</v>
      </c>
      <c r="AJ50" s="7" t="s">
        <v>55</v>
      </c>
      <c r="AK50" s="7" t="s">
        <v>14</v>
      </c>
      <c r="AL50" s="7" t="s">
        <v>13</v>
      </c>
      <c r="AM50" s="7" t="s">
        <v>56</v>
      </c>
      <c r="AN50" s="7" t="s">
        <v>56</v>
      </c>
      <c r="AO50" s="7" t="s">
        <v>55</v>
      </c>
      <c r="AP50" s="7" t="s">
        <v>14</v>
      </c>
      <c r="AQ50" s="7" t="s">
        <v>13</v>
      </c>
      <c r="AR50" s="7" t="s">
        <v>57</v>
      </c>
      <c r="AS50" s="7" t="s">
        <v>13</v>
      </c>
      <c r="AT50" s="7" t="s">
        <v>55</v>
      </c>
      <c r="AU50" s="7" t="s">
        <v>13</v>
      </c>
      <c r="AV50" s="7" t="s">
        <v>57</v>
      </c>
      <c r="AW50" s="7" t="s">
        <v>55</v>
      </c>
      <c r="AX50" s="7" t="s">
        <v>57</v>
      </c>
      <c r="AY50" s="7" t="s">
        <v>55</v>
      </c>
      <c r="AZ50" s="7" t="s">
        <v>13</v>
      </c>
      <c r="BA50" s="7" t="s">
        <v>55</v>
      </c>
      <c r="BB50" s="7" t="s">
        <v>13</v>
      </c>
      <c r="BC50" s="7" t="s">
        <v>57</v>
      </c>
      <c r="BD50" s="7" t="s">
        <v>57</v>
      </c>
      <c r="BE50" s="7" t="s">
        <v>55</v>
      </c>
      <c r="BF50" s="7" t="s">
        <v>13</v>
      </c>
      <c r="BG50" s="7" t="s">
        <v>55</v>
      </c>
      <c r="BH50" s="7" t="s">
        <v>13</v>
      </c>
      <c r="BI50" s="7" t="s">
        <v>57</v>
      </c>
      <c r="BJ50" s="7" t="s">
        <v>57</v>
      </c>
      <c r="BK50" s="7" t="s">
        <v>55</v>
      </c>
      <c r="BL50" s="7" t="s">
        <v>13</v>
      </c>
      <c r="BM50" s="7" t="s">
        <v>13</v>
      </c>
      <c r="BN50" s="7" t="s">
        <v>55</v>
      </c>
      <c r="BO50" s="7" t="s">
        <v>57</v>
      </c>
      <c r="BP50" s="7" t="s">
        <v>13</v>
      </c>
      <c r="BQ50" s="7" t="s">
        <v>55</v>
      </c>
      <c r="BR50" s="7" t="s">
        <v>57</v>
      </c>
      <c r="BS50" s="7" t="s">
        <v>57</v>
      </c>
      <c r="BT50" s="7" t="s">
        <v>13</v>
      </c>
      <c r="BU50" s="7" t="s">
        <v>55</v>
      </c>
      <c r="BV50" s="7" t="s">
        <v>52</v>
      </c>
      <c r="BW50" s="9"/>
    </row>
    <row r="51" spans="1:75" ht="79.8" thickBot="1" x14ac:dyDescent="0.35">
      <c r="A51" s="10">
        <v>46153.860115740739</v>
      </c>
      <c r="B51" s="11" t="s">
        <v>9</v>
      </c>
      <c r="C51" s="11" t="s">
        <v>15</v>
      </c>
      <c r="D51" s="11" t="s">
        <v>55</v>
      </c>
      <c r="E51" s="11" t="s">
        <v>56</v>
      </c>
      <c r="F51" s="11" t="s">
        <v>13</v>
      </c>
      <c r="G51" s="11" t="s">
        <v>14</v>
      </c>
      <c r="H51" s="11" t="s">
        <v>55</v>
      </c>
      <c r="I51" s="11" t="s">
        <v>14</v>
      </c>
      <c r="J51" s="11" t="s">
        <v>56</v>
      </c>
      <c r="K51" s="11" t="s">
        <v>13</v>
      </c>
      <c r="L51" s="11" t="s">
        <v>13</v>
      </c>
      <c r="M51" s="11" t="s">
        <v>56</v>
      </c>
      <c r="N51" s="11" t="s">
        <v>14</v>
      </c>
      <c r="O51" s="11" t="s">
        <v>55</v>
      </c>
      <c r="P51" s="11" t="s">
        <v>55</v>
      </c>
      <c r="Q51" s="11" t="s">
        <v>56</v>
      </c>
      <c r="R51" s="11" t="s">
        <v>13</v>
      </c>
      <c r="S51" s="11" t="s">
        <v>14</v>
      </c>
      <c r="T51" s="11" t="s">
        <v>55</v>
      </c>
      <c r="U51" s="11" t="s">
        <v>56</v>
      </c>
      <c r="V51" s="11" t="s">
        <v>13</v>
      </c>
      <c r="W51" s="11" t="s">
        <v>14</v>
      </c>
      <c r="X51" s="11" t="s">
        <v>14</v>
      </c>
      <c r="Y51" s="11" t="s">
        <v>13</v>
      </c>
      <c r="Z51" s="11" t="s">
        <v>56</v>
      </c>
      <c r="AA51" s="11" t="s">
        <v>55</v>
      </c>
      <c r="AB51" s="11" t="s">
        <v>13</v>
      </c>
      <c r="AC51" s="11" t="s">
        <v>14</v>
      </c>
      <c r="AD51" s="11" t="s">
        <v>55</v>
      </c>
      <c r="AE51" s="11" t="s">
        <v>56</v>
      </c>
      <c r="AF51" s="11" t="s">
        <v>13</v>
      </c>
      <c r="AG51" s="11" t="s">
        <v>14</v>
      </c>
      <c r="AH51" s="11" t="s">
        <v>56</v>
      </c>
      <c r="AI51" s="11" t="s">
        <v>55</v>
      </c>
      <c r="AJ51" s="11" t="s">
        <v>55</v>
      </c>
      <c r="AK51" s="11" t="s">
        <v>14</v>
      </c>
      <c r="AL51" s="11" t="s">
        <v>56</v>
      </c>
      <c r="AM51" s="11" t="s">
        <v>13</v>
      </c>
      <c r="AN51" s="11" t="s">
        <v>56</v>
      </c>
      <c r="AO51" s="11" t="s">
        <v>55</v>
      </c>
      <c r="AP51" s="11" t="s">
        <v>14</v>
      </c>
      <c r="AQ51" s="11" t="s">
        <v>13</v>
      </c>
      <c r="AR51" s="11" t="s">
        <v>57</v>
      </c>
      <c r="AS51" s="11" t="s">
        <v>55</v>
      </c>
      <c r="AT51" s="11" t="s">
        <v>13</v>
      </c>
      <c r="AU51" s="11" t="s">
        <v>13</v>
      </c>
      <c r="AV51" s="11" t="s">
        <v>57</v>
      </c>
      <c r="AW51" s="11" t="s">
        <v>55</v>
      </c>
      <c r="AX51" s="11" t="s">
        <v>57</v>
      </c>
      <c r="AY51" s="11" t="s">
        <v>55</v>
      </c>
      <c r="AZ51" s="11" t="s">
        <v>13</v>
      </c>
      <c r="BA51" s="11" t="s">
        <v>55</v>
      </c>
      <c r="BB51" s="11" t="s">
        <v>13</v>
      </c>
      <c r="BC51" s="11" t="s">
        <v>57</v>
      </c>
      <c r="BD51" s="11" t="s">
        <v>57</v>
      </c>
      <c r="BE51" s="11" t="s">
        <v>55</v>
      </c>
      <c r="BF51" s="11" t="s">
        <v>13</v>
      </c>
      <c r="BG51" s="11" t="s">
        <v>55</v>
      </c>
      <c r="BH51" s="11" t="s">
        <v>57</v>
      </c>
      <c r="BI51" s="11" t="s">
        <v>13</v>
      </c>
      <c r="BJ51" s="11" t="s">
        <v>13</v>
      </c>
      <c r="BK51" s="11" t="s">
        <v>55</v>
      </c>
      <c r="BL51" s="11" t="s">
        <v>57</v>
      </c>
      <c r="BM51" s="11" t="s">
        <v>57</v>
      </c>
      <c r="BN51" s="11" t="s">
        <v>55</v>
      </c>
      <c r="BO51" s="11" t="s">
        <v>13</v>
      </c>
      <c r="BP51" s="11" t="s">
        <v>55</v>
      </c>
      <c r="BQ51" s="11" t="s">
        <v>13</v>
      </c>
      <c r="BR51" s="11" t="s">
        <v>57</v>
      </c>
      <c r="BS51" s="11" t="s">
        <v>13</v>
      </c>
      <c r="BT51" s="11" t="s">
        <v>55</v>
      </c>
      <c r="BU51" s="11" t="s">
        <v>57</v>
      </c>
      <c r="BV51" s="11" t="s">
        <v>53</v>
      </c>
      <c r="BW51" s="13"/>
    </row>
    <row r="52" spans="1:75" ht="79.8" thickBot="1" x14ac:dyDescent="0.35">
      <c r="A52" s="6">
        <v>46153.892800925925</v>
      </c>
      <c r="B52" s="7" t="s">
        <v>23</v>
      </c>
      <c r="C52" s="7" t="s">
        <v>15</v>
      </c>
      <c r="D52" s="7" t="s">
        <v>55</v>
      </c>
      <c r="E52" s="7" t="s">
        <v>56</v>
      </c>
      <c r="F52" s="7" t="s">
        <v>13</v>
      </c>
      <c r="G52" s="7" t="s">
        <v>14</v>
      </c>
      <c r="H52" s="7" t="s">
        <v>13</v>
      </c>
      <c r="I52" s="7" t="s">
        <v>14</v>
      </c>
      <c r="J52" s="7" t="s">
        <v>56</v>
      </c>
      <c r="K52" s="7" t="s">
        <v>55</v>
      </c>
      <c r="L52" s="7" t="s">
        <v>14</v>
      </c>
      <c r="M52" s="7" t="s">
        <v>13</v>
      </c>
      <c r="N52" s="7" t="s">
        <v>56</v>
      </c>
      <c r="O52" s="7" t="s">
        <v>55</v>
      </c>
      <c r="P52" s="7" t="s">
        <v>55</v>
      </c>
      <c r="Q52" s="7" t="s">
        <v>14</v>
      </c>
      <c r="R52" s="7" t="s">
        <v>13</v>
      </c>
      <c r="S52" s="7" t="s">
        <v>56</v>
      </c>
      <c r="T52" s="7" t="s">
        <v>55</v>
      </c>
      <c r="U52" s="7" t="s">
        <v>56</v>
      </c>
      <c r="V52" s="7" t="s">
        <v>14</v>
      </c>
      <c r="W52" s="7" t="s">
        <v>13</v>
      </c>
      <c r="X52" s="7" t="s">
        <v>14</v>
      </c>
      <c r="Y52" s="7" t="s">
        <v>13</v>
      </c>
      <c r="Z52" s="7" t="s">
        <v>56</v>
      </c>
      <c r="AA52" s="7" t="s">
        <v>55</v>
      </c>
      <c r="AB52" s="7" t="s">
        <v>13</v>
      </c>
      <c r="AC52" s="7" t="s">
        <v>14</v>
      </c>
      <c r="AD52" s="7" t="s">
        <v>55</v>
      </c>
      <c r="AE52" s="7" t="s">
        <v>56</v>
      </c>
      <c r="AF52" s="7" t="s">
        <v>14</v>
      </c>
      <c r="AG52" s="7" t="s">
        <v>13</v>
      </c>
      <c r="AH52" s="7" t="s">
        <v>56</v>
      </c>
      <c r="AI52" s="7" t="s">
        <v>55</v>
      </c>
      <c r="AJ52" s="7" t="s">
        <v>13</v>
      </c>
      <c r="AK52" s="7" t="s">
        <v>56</v>
      </c>
      <c r="AL52" s="7" t="s">
        <v>14</v>
      </c>
      <c r="AM52" s="7" t="s">
        <v>55</v>
      </c>
      <c r="AN52" s="7" t="s">
        <v>14</v>
      </c>
      <c r="AO52" s="7" t="s">
        <v>55</v>
      </c>
      <c r="AP52" s="7" t="s">
        <v>56</v>
      </c>
      <c r="AQ52" s="7" t="s">
        <v>13</v>
      </c>
      <c r="AR52" s="7" t="s">
        <v>57</v>
      </c>
      <c r="AS52" s="7" t="s">
        <v>13</v>
      </c>
      <c r="AT52" s="7" t="s">
        <v>55</v>
      </c>
      <c r="AU52" s="7" t="s">
        <v>57</v>
      </c>
      <c r="AV52" s="7" t="s">
        <v>13</v>
      </c>
      <c r="AW52" s="7" t="s">
        <v>55</v>
      </c>
      <c r="AX52" s="7" t="s">
        <v>57</v>
      </c>
      <c r="AY52" s="7" t="s">
        <v>55</v>
      </c>
      <c r="AZ52" s="7" t="s">
        <v>13</v>
      </c>
      <c r="BA52" s="7" t="s">
        <v>13</v>
      </c>
      <c r="BB52" s="7" t="s">
        <v>55</v>
      </c>
      <c r="BC52" s="7" t="s">
        <v>57</v>
      </c>
      <c r="BD52" s="7" t="s">
        <v>57</v>
      </c>
      <c r="BE52" s="7" t="s">
        <v>55</v>
      </c>
      <c r="BF52" s="7" t="s">
        <v>13</v>
      </c>
      <c r="BG52" s="7" t="s">
        <v>55</v>
      </c>
      <c r="BH52" s="7" t="s">
        <v>57</v>
      </c>
      <c r="BI52" s="7" t="s">
        <v>13</v>
      </c>
      <c r="BJ52" s="7" t="s">
        <v>57</v>
      </c>
      <c r="BK52" s="7" t="s">
        <v>13</v>
      </c>
      <c r="BL52" s="7" t="s">
        <v>55</v>
      </c>
      <c r="BM52" s="7" t="s">
        <v>57</v>
      </c>
      <c r="BN52" s="7" t="s">
        <v>55</v>
      </c>
      <c r="BO52" s="7" t="s">
        <v>13</v>
      </c>
      <c r="BP52" s="7" t="s">
        <v>57</v>
      </c>
      <c r="BQ52" s="7" t="s">
        <v>55</v>
      </c>
      <c r="BR52" s="7" t="s">
        <v>13</v>
      </c>
      <c r="BS52" s="7" t="s">
        <v>13</v>
      </c>
      <c r="BT52" s="7" t="s">
        <v>55</v>
      </c>
      <c r="BU52" s="7" t="s">
        <v>57</v>
      </c>
      <c r="BV52" s="7" t="s">
        <v>54</v>
      </c>
      <c r="BW52" s="9"/>
    </row>
    <row r="53" spans="1:75" ht="66.599999999999994" thickBot="1" x14ac:dyDescent="0.35">
      <c r="A53" s="10">
        <v>46153.920289351852</v>
      </c>
      <c r="B53" s="11" t="s">
        <v>9</v>
      </c>
      <c r="C53" s="11" t="s">
        <v>16</v>
      </c>
      <c r="D53" s="11" t="s">
        <v>13</v>
      </c>
      <c r="E53" s="11" t="s">
        <v>56</v>
      </c>
      <c r="F53" s="11" t="s">
        <v>55</v>
      </c>
      <c r="G53" s="11" t="s">
        <v>14</v>
      </c>
      <c r="H53" s="11" t="s">
        <v>55</v>
      </c>
      <c r="I53" s="11" t="s">
        <v>14</v>
      </c>
      <c r="J53" s="11" t="s">
        <v>56</v>
      </c>
      <c r="K53" s="11" t="s">
        <v>13</v>
      </c>
      <c r="L53" s="11" t="s">
        <v>56</v>
      </c>
      <c r="M53" s="11" t="s">
        <v>13</v>
      </c>
      <c r="N53" s="11" t="s">
        <v>14</v>
      </c>
      <c r="O53" s="11" t="s">
        <v>55</v>
      </c>
      <c r="P53" s="11" t="s">
        <v>55</v>
      </c>
      <c r="Q53" s="11" t="s">
        <v>56</v>
      </c>
      <c r="R53" s="11" t="s">
        <v>13</v>
      </c>
      <c r="S53" s="11" t="s">
        <v>14</v>
      </c>
      <c r="T53" s="11" t="s">
        <v>55</v>
      </c>
      <c r="U53" s="11" t="s">
        <v>56</v>
      </c>
      <c r="V53" s="11" t="s">
        <v>13</v>
      </c>
      <c r="W53" s="11" t="s">
        <v>14</v>
      </c>
      <c r="X53" s="11" t="s">
        <v>14</v>
      </c>
      <c r="Y53" s="11" t="s">
        <v>13</v>
      </c>
      <c r="Z53" s="11" t="s">
        <v>56</v>
      </c>
      <c r="AA53" s="11" t="s">
        <v>55</v>
      </c>
      <c r="AB53" s="11" t="s">
        <v>55</v>
      </c>
      <c r="AC53" s="11" t="s">
        <v>56</v>
      </c>
      <c r="AD53" s="11" t="s">
        <v>13</v>
      </c>
      <c r="AE53" s="11" t="s">
        <v>14</v>
      </c>
      <c r="AF53" s="11" t="s">
        <v>13</v>
      </c>
      <c r="AG53" s="11" t="s">
        <v>14</v>
      </c>
      <c r="AH53" s="11" t="s">
        <v>56</v>
      </c>
      <c r="AI53" s="11" t="s">
        <v>55</v>
      </c>
      <c r="AJ53" s="11" t="s">
        <v>13</v>
      </c>
      <c r="AK53" s="11" t="s">
        <v>56</v>
      </c>
      <c r="AL53" s="11" t="s">
        <v>14</v>
      </c>
      <c r="AM53" s="11" t="s">
        <v>55</v>
      </c>
      <c r="AN53" s="11" t="s">
        <v>56</v>
      </c>
      <c r="AO53" s="11" t="s">
        <v>14</v>
      </c>
      <c r="AP53" s="11" t="s">
        <v>13</v>
      </c>
      <c r="AQ53" s="11" t="s">
        <v>55</v>
      </c>
      <c r="AR53" s="11" t="s">
        <v>13</v>
      </c>
      <c r="AS53" s="11" t="s">
        <v>55</v>
      </c>
      <c r="AT53" s="11" t="s">
        <v>57</v>
      </c>
      <c r="AU53" s="11" t="s">
        <v>57</v>
      </c>
      <c r="AV53" s="11" t="s">
        <v>13</v>
      </c>
      <c r="AW53" s="11" t="s">
        <v>55</v>
      </c>
      <c r="AX53" s="11" t="s">
        <v>13</v>
      </c>
      <c r="AY53" s="11" t="s">
        <v>55</v>
      </c>
      <c r="AZ53" s="11" t="s">
        <v>57</v>
      </c>
      <c r="BA53" s="11" t="s">
        <v>55</v>
      </c>
      <c r="BB53" s="11" t="s">
        <v>13</v>
      </c>
      <c r="BC53" s="11" t="s">
        <v>57</v>
      </c>
      <c r="BD53" s="11" t="s">
        <v>57</v>
      </c>
      <c r="BE53" s="11" t="s">
        <v>55</v>
      </c>
      <c r="BF53" s="11" t="s">
        <v>13</v>
      </c>
      <c r="BG53" s="11" t="s">
        <v>55</v>
      </c>
      <c r="BH53" s="11" t="s">
        <v>57</v>
      </c>
      <c r="BI53" s="11" t="s">
        <v>13</v>
      </c>
      <c r="BJ53" s="11" t="s">
        <v>13</v>
      </c>
      <c r="BK53" s="11" t="s">
        <v>57</v>
      </c>
      <c r="BL53" s="11" t="s">
        <v>55</v>
      </c>
      <c r="BM53" s="11" t="s">
        <v>57</v>
      </c>
      <c r="BN53" s="11" t="s">
        <v>55</v>
      </c>
      <c r="BO53" s="11" t="s">
        <v>13</v>
      </c>
      <c r="BP53" s="11" t="s">
        <v>55</v>
      </c>
      <c r="BQ53" s="11" t="s">
        <v>13</v>
      </c>
      <c r="BR53" s="11" t="s">
        <v>57</v>
      </c>
      <c r="BS53" s="11" t="s">
        <v>13</v>
      </c>
      <c r="BT53" s="11" t="s">
        <v>55</v>
      </c>
      <c r="BU53" s="11" t="s">
        <v>57</v>
      </c>
      <c r="BV53" s="11" t="s">
        <v>58</v>
      </c>
      <c r="BW53" s="13"/>
    </row>
    <row r="54" spans="1:75" ht="53.4" thickBot="1" x14ac:dyDescent="0.35">
      <c r="A54" s="14">
        <v>46153.92255787037</v>
      </c>
      <c r="B54" s="15" t="s">
        <v>9</v>
      </c>
      <c r="C54" s="15" t="s">
        <v>10</v>
      </c>
      <c r="D54" s="15" t="s">
        <v>13</v>
      </c>
      <c r="E54" s="15" t="s">
        <v>56</v>
      </c>
      <c r="F54" s="15" t="s">
        <v>55</v>
      </c>
      <c r="G54" s="15" t="s">
        <v>14</v>
      </c>
      <c r="H54" s="15" t="s">
        <v>13</v>
      </c>
      <c r="I54" s="15" t="s">
        <v>14</v>
      </c>
      <c r="J54" s="15" t="s">
        <v>56</v>
      </c>
      <c r="K54" s="15" t="s">
        <v>55</v>
      </c>
      <c r="L54" s="15" t="s">
        <v>56</v>
      </c>
      <c r="M54" s="15" t="s">
        <v>13</v>
      </c>
      <c r="N54" s="15" t="s">
        <v>14</v>
      </c>
      <c r="O54" s="15" t="s">
        <v>55</v>
      </c>
      <c r="P54" s="15" t="s">
        <v>55</v>
      </c>
      <c r="Q54" s="15" t="s">
        <v>56</v>
      </c>
      <c r="R54" s="15" t="s">
        <v>13</v>
      </c>
      <c r="S54" s="15" t="s">
        <v>14</v>
      </c>
      <c r="T54" s="15" t="s">
        <v>55</v>
      </c>
      <c r="U54" s="15" t="s">
        <v>56</v>
      </c>
      <c r="V54" s="15" t="s">
        <v>14</v>
      </c>
      <c r="W54" s="15" t="s">
        <v>13</v>
      </c>
      <c r="X54" s="15" t="s">
        <v>14</v>
      </c>
      <c r="Y54" s="15" t="s">
        <v>13</v>
      </c>
      <c r="Z54" s="15" t="s">
        <v>56</v>
      </c>
      <c r="AA54" s="15" t="s">
        <v>55</v>
      </c>
      <c r="AB54" s="15" t="s">
        <v>13</v>
      </c>
      <c r="AC54" s="15" t="s">
        <v>56</v>
      </c>
      <c r="AD54" s="15" t="s">
        <v>55</v>
      </c>
      <c r="AE54" s="15" t="s">
        <v>14</v>
      </c>
      <c r="AF54" s="15" t="s">
        <v>14</v>
      </c>
      <c r="AG54" s="15" t="s">
        <v>55</v>
      </c>
      <c r="AH54" s="15" t="s">
        <v>56</v>
      </c>
      <c r="AI54" s="15" t="s">
        <v>13</v>
      </c>
      <c r="AJ54" s="15" t="s">
        <v>55</v>
      </c>
      <c r="AK54" s="15" t="s">
        <v>56</v>
      </c>
      <c r="AL54" s="15" t="s">
        <v>14</v>
      </c>
      <c r="AM54" s="15" t="s">
        <v>13</v>
      </c>
      <c r="AN54" s="15" t="s">
        <v>13</v>
      </c>
      <c r="AO54" s="15" t="s">
        <v>56</v>
      </c>
      <c r="AP54" s="15" t="s">
        <v>14</v>
      </c>
      <c r="AQ54" s="15" t="s">
        <v>55</v>
      </c>
      <c r="AR54" s="15" t="s">
        <v>55</v>
      </c>
      <c r="AS54" s="15" t="s">
        <v>57</v>
      </c>
      <c r="AT54" s="15" t="s">
        <v>13</v>
      </c>
      <c r="AU54" s="15" t="s">
        <v>57</v>
      </c>
      <c r="AV54" s="15" t="s">
        <v>55</v>
      </c>
      <c r="AW54" s="15" t="s">
        <v>13</v>
      </c>
      <c r="AX54" s="15" t="s">
        <v>13</v>
      </c>
      <c r="AY54" s="15" t="s">
        <v>55</v>
      </c>
      <c r="AZ54" s="15" t="s">
        <v>57</v>
      </c>
      <c r="BA54" s="15" t="s">
        <v>57</v>
      </c>
      <c r="BB54" s="15" t="s">
        <v>13</v>
      </c>
      <c r="BC54" s="15" t="s">
        <v>55</v>
      </c>
      <c r="BD54" s="15" t="s">
        <v>55</v>
      </c>
      <c r="BE54" s="15" t="s">
        <v>57</v>
      </c>
      <c r="BF54" s="15" t="s">
        <v>13</v>
      </c>
      <c r="BG54" s="15" t="s">
        <v>55</v>
      </c>
      <c r="BH54" s="15" t="s">
        <v>57</v>
      </c>
      <c r="BI54" s="15" t="s">
        <v>13</v>
      </c>
      <c r="BJ54" s="15" t="s">
        <v>57</v>
      </c>
      <c r="BK54" s="15" t="s">
        <v>13</v>
      </c>
      <c r="BL54" s="15" t="s">
        <v>55</v>
      </c>
      <c r="BM54" s="15" t="s">
        <v>57</v>
      </c>
      <c r="BN54" s="15" t="s">
        <v>55</v>
      </c>
      <c r="BO54" s="15" t="s">
        <v>13</v>
      </c>
      <c r="BP54" s="15" t="s">
        <v>55</v>
      </c>
      <c r="BQ54" s="15" t="s">
        <v>13</v>
      </c>
      <c r="BR54" s="15" t="s">
        <v>57</v>
      </c>
      <c r="BS54" s="15" t="s">
        <v>55</v>
      </c>
      <c r="BT54" s="15" t="s">
        <v>13</v>
      </c>
      <c r="BU54" s="15" t="s">
        <v>57</v>
      </c>
      <c r="BV54" s="15" t="s">
        <v>59</v>
      </c>
      <c r="BW54" s="1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AE452-C460-439C-8F0D-0253BC9F658D}">
  <sheetPr codeName="Sheet2"/>
  <dimension ref="A1:BW51"/>
  <sheetViews>
    <sheetView workbookViewId="0">
      <selection activeCell="C2" sqref="C2"/>
    </sheetView>
  </sheetViews>
  <sheetFormatPr defaultRowHeight="14.4" x14ac:dyDescent="0.3"/>
  <cols>
    <col min="1" max="1" width="13.6640625" customWidth="1"/>
    <col min="2" max="2" width="17.44140625" customWidth="1"/>
    <col min="3" max="3" width="48.33203125" customWidth="1"/>
    <col min="74" max="74" width="14.5546875" customWidth="1"/>
    <col min="75" max="75" width="11.88671875" customWidth="1"/>
  </cols>
  <sheetData>
    <row r="1" spans="1:75" x14ac:dyDescent="0.3">
      <c r="A1" s="17" t="s">
        <v>0</v>
      </c>
      <c r="B1" s="17" t="s">
        <v>1</v>
      </c>
      <c r="C1" s="17" t="s">
        <v>2</v>
      </c>
      <c r="D1" s="17" t="s">
        <v>65</v>
      </c>
      <c r="E1" s="17" t="s">
        <v>85</v>
      </c>
      <c r="F1" s="17" t="s">
        <v>105</v>
      </c>
      <c r="G1" s="17" t="s">
        <v>125</v>
      </c>
      <c r="H1" s="17" t="s">
        <v>66</v>
      </c>
      <c r="I1" s="17" t="s">
        <v>86</v>
      </c>
      <c r="J1" s="17" t="s">
        <v>106</v>
      </c>
      <c r="K1" s="17" t="s">
        <v>126</v>
      </c>
      <c r="L1" s="17" t="s">
        <v>67</v>
      </c>
      <c r="M1" s="17" t="s">
        <v>87</v>
      </c>
      <c r="N1" s="17" t="s">
        <v>107</v>
      </c>
      <c r="O1" s="17" t="s">
        <v>127</v>
      </c>
      <c r="P1" s="17" t="s">
        <v>68</v>
      </c>
      <c r="Q1" s="17" t="s">
        <v>88</v>
      </c>
      <c r="R1" s="17" t="s">
        <v>108</v>
      </c>
      <c r="S1" s="17" t="s">
        <v>128</v>
      </c>
      <c r="T1" s="17" t="s">
        <v>69</v>
      </c>
      <c r="U1" s="17" t="s">
        <v>89</v>
      </c>
      <c r="V1" s="17" t="s">
        <v>109</v>
      </c>
      <c r="W1" s="17" t="s">
        <v>129</v>
      </c>
      <c r="X1" s="17" t="s">
        <v>70</v>
      </c>
      <c r="Y1" s="17" t="s">
        <v>90</v>
      </c>
      <c r="Z1" s="17" t="s">
        <v>110</v>
      </c>
      <c r="AA1" s="17" t="s">
        <v>130</v>
      </c>
      <c r="AB1" s="17" t="s">
        <v>71</v>
      </c>
      <c r="AC1" s="17" t="s">
        <v>91</v>
      </c>
      <c r="AD1" s="17" t="s">
        <v>111</v>
      </c>
      <c r="AE1" s="17" t="s">
        <v>131</v>
      </c>
      <c r="AF1" s="17" t="s">
        <v>72</v>
      </c>
      <c r="AG1" s="17" t="s">
        <v>92</v>
      </c>
      <c r="AH1" s="17" t="s">
        <v>112</v>
      </c>
      <c r="AI1" s="17" t="s">
        <v>132</v>
      </c>
      <c r="AJ1" s="17" t="s">
        <v>73</v>
      </c>
      <c r="AK1" s="17" t="s">
        <v>93</v>
      </c>
      <c r="AL1" s="17" t="s">
        <v>113</v>
      </c>
      <c r="AM1" s="17" t="s">
        <v>133</v>
      </c>
      <c r="AN1" s="17" t="s">
        <v>74</v>
      </c>
      <c r="AO1" s="17" t="s">
        <v>94</v>
      </c>
      <c r="AP1" s="17" t="s">
        <v>114</v>
      </c>
      <c r="AQ1" s="17" t="s">
        <v>134</v>
      </c>
      <c r="AR1" s="17" t="s">
        <v>75</v>
      </c>
      <c r="AS1" s="17" t="s">
        <v>95</v>
      </c>
      <c r="AT1" s="17" t="s">
        <v>115</v>
      </c>
      <c r="AU1" s="17" t="s">
        <v>76</v>
      </c>
      <c r="AV1" s="17" t="s">
        <v>96</v>
      </c>
      <c r="AW1" s="17" t="s">
        <v>116</v>
      </c>
      <c r="AX1" s="17" t="s">
        <v>77</v>
      </c>
      <c r="AY1" s="17" t="s">
        <v>97</v>
      </c>
      <c r="AZ1" s="17" t="s">
        <v>117</v>
      </c>
      <c r="BA1" s="17" t="s">
        <v>78</v>
      </c>
      <c r="BB1" s="17" t="s">
        <v>98</v>
      </c>
      <c r="BC1" s="17" t="s">
        <v>118</v>
      </c>
      <c r="BD1" s="17" t="s">
        <v>79</v>
      </c>
      <c r="BE1" s="17" t="s">
        <v>99</v>
      </c>
      <c r="BF1" s="17" t="s">
        <v>119</v>
      </c>
      <c r="BG1" s="17" t="s">
        <v>80</v>
      </c>
      <c r="BH1" s="17" t="s">
        <v>100</v>
      </c>
      <c r="BI1" s="17" t="s">
        <v>120</v>
      </c>
      <c r="BJ1" s="17" t="s">
        <v>81</v>
      </c>
      <c r="BK1" s="17" t="s">
        <v>101</v>
      </c>
      <c r="BL1" s="17" t="s">
        <v>121</v>
      </c>
      <c r="BM1" s="17" t="s">
        <v>82</v>
      </c>
      <c r="BN1" s="17" t="s">
        <v>102</v>
      </c>
      <c r="BO1" s="17" t="s">
        <v>122</v>
      </c>
      <c r="BP1" s="17" t="s">
        <v>83</v>
      </c>
      <c r="BQ1" s="17" t="s">
        <v>103</v>
      </c>
      <c r="BR1" s="17" t="s">
        <v>123</v>
      </c>
      <c r="BS1" s="17" t="s">
        <v>84</v>
      </c>
      <c r="BT1" s="17" t="s">
        <v>104</v>
      </c>
      <c r="BU1" s="17" t="s">
        <v>124</v>
      </c>
      <c r="BV1" s="17" t="s">
        <v>7</v>
      </c>
      <c r="BW1" s="17" t="s">
        <v>8</v>
      </c>
    </row>
    <row r="2" spans="1:75" x14ac:dyDescent="0.3">
      <c r="A2" s="1">
        <v>46144.677453703705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13</v>
      </c>
      <c r="I2" s="2" t="s">
        <v>14</v>
      </c>
      <c r="J2" s="2" t="s">
        <v>12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11</v>
      </c>
      <c r="P2" s="2" t="s">
        <v>11</v>
      </c>
      <c r="Q2" s="2" t="s">
        <v>12</v>
      </c>
      <c r="R2" s="2" t="s">
        <v>13</v>
      </c>
      <c r="S2" s="2" t="s">
        <v>14</v>
      </c>
      <c r="T2" s="2" t="s">
        <v>11</v>
      </c>
      <c r="U2" s="2" t="s">
        <v>12</v>
      </c>
      <c r="V2" s="2" t="s">
        <v>13</v>
      </c>
      <c r="W2" s="2" t="s">
        <v>14</v>
      </c>
      <c r="X2" s="2" t="s">
        <v>14</v>
      </c>
      <c r="Y2" s="2" t="s">
        <v>11</v>
      </c>
      <c r="Z2" s="2" t="s">
        <v>12</v>
      </c>
      <c r="AA2" s="2" t="s">
        <v>13</v>
      </c>
      <c r="AB2" s="2" t="s">
        <v>11</v>
      </c>
      <c r="AC2" s="2" t="s">
        <v>12</v>
      </c>
      <c r="AD2" s="2" t="s">
        <v>13</v>
      </c>
      <c r="AE2" s="2" t="s">
        <v>14</v>
      </c>
      <c r="AF2" s="2" t="s">
        <v>14</v>
      </c>
      <c r="AG2" s="2" t="s">
        <v>13</v>
      </c>
      <c r="AH2" s="2" t="s">
        <v>12</v>
      </c>
      <c r="AI2" s="2" t="s">
        <v>11</v>
      </c>
      <c r="AJ2" s="2" t="s">
        <v>11</v>
      </c>
      <c r="AK2" s="2" t="s">
        <v>12</v>
      </c>
      <c r="AL2" s="2" t="s">
        <v>13</v>
      </c>
      <c r="AM2" s="2" t="s">
        <v>14</v>
      </c>
      <c r="AN2" s="2" t="s">
        <v>12</v>
      </c>
      <c r="AO2" s="2" t="s">
        <v>11</v>
      </c>
      <c r="AP2" s="2" t="s">
        <v>13</v>
      </c>
      <c r="AQ2" s="2" t="s">
        <v>14</v>
      </c>
      <c r="AR2" s="2" t="s">
        <v>14</v>
      </c>
      <c r="AS2" s="2" t="s">
        <v>13</v>
      </c>
      <c r="AT2" s="2" t="s">
        <v>11</v>
      </c>
      <c r="AU2" s="2" t="s">
        <v>14</v>
      </c>
      <c r="AV2" s="2" t="s">
        <v>13</v>
      </c>
      <c r="AW2" s="2" t="s">
        <v>11</v>
      </c>
      <c r="AX2" s="2" t="s">
        <v>11</v>
      </c>
      <c r="AY2" s="2" t="s">
        <v>14</v>
      </c>
      <c r="AZ2" s="2" t="s">
        <v>13</v>
      </c>
      <c r="BA2" s="2" t="s">
        <v>11</v>
      </c>
      <c r="BB2" s="2" t="s">
        <v>13</v>
      </c>
      <c r="BC2" s="2" t="s">
        <v>14</v>
      </c>
      <c r="BD2" s="2" t="s">
        <v>14</v>
      </c>
      <c r="BE2" s="2" t="s">
        <v>13</v>
      </c>
      <c r="BF2" s="2" t="s">
        <v>11</v>
      </c>
      <c r="BG2" s="2" t="s">
        <v>11</v>
      </c>
      <c r="BH2" s="2" t="s">
        <v>14</v>
      </c>
      <c r="BI2" s="2" t="s">
        <v>13</v>
      </c>
      <c r="BJ2" s="2" t="s">
        <v>14</v>
      </c>
      <c r="BK2" s="2" t="s">
        <v>11</v>
      </c>
      <c r="BL2" s="2" t="s">
        <v>13</v>
      </c>
      <c r="BM2" s="2" t="s">
        <v>14</v>
      </c>
      <c r="BN2" s="2" t="s">
        <v>11</v>
      </c>
      <c r="BO2" s="2" t="s">
        <v>13</v>
      </c>
      <c r="BP2" s="2" t="s">
        <v>13</v>
      </c>
      <c r="BQ2" s="2" t="s">
        <v>11</v>
      </c>
      <c r="BR2" s="2" t="s">
        <v>14</v>
      </c>
      <c r="BS2" s="2" t="s">
        <v>14</v>
      </c>
      <c r="BT2" s="2" t="s">
        <v>11</v>
      </c>
      <c r="BU2" s="2" t="s">
        <v>13</v>
      </c>
      <c r="BV2" s="2"/>
      <c r="BW2" s="2"/>
    </row>
    <row r="3" spans="1:75" x14ac:dyDescent="0.3">
      <c r="A3" s="1">
        <v>46144.686331018522</v>
      </c>
      <c r="B3" s="2" t="s">
        <v>9</v>
      </c>
      <c r="C3" s="2" t="s">
        <v>10</v>
      </c>
      <c r="D3" s="2" t="s">
        <v>14</v>
      </c>
      <c r="E3" s="2" t="s">
        <v>11</v>
      </c>
      <c r="F3" s="2" t="s">
        <v>12</v>
      </c>
      <c r="G3" s="2" t="s">
        <v>13</v>
      </c>
      <c r="H3" s="2" t="s">
        <v>13</v>
      </c>
      <c r="I3" s="2" t="s">
        <v>14</v>
      </c>
      <c r="J3" s="2" t="s">
        <v>12</v>
      </c>
      <c r="K3" s="2" t="s">
        <v>11</v>
      </c>
      <c r="L3" s="2" t="s">
        <v>12</v>
      </c>
      <c r="M3" s="2" t="s">
        <v>13</v>
      </c>
      <c r="N3" s="2" t="s">
        <v>11</v>
      </c>
      <c r="O3" s="2" t="s">
        <v>14</v>
      </c>
      <c r="P3" s="2" t="s">
        <v>11</v>
      </c>
      <c r="Q3" s="2" t="s">
        <v>13</v>
      </c>
      <c r="R3" s="2" t="s">
        <v>12</v>
      </c>
      <c r="S3" s="2" t="s">
        <v>14</v>
      </c>
      <c r="T3" s="2" t="s">
        <v>11</v>
      </c>
      <c r="U3" s="2" t="s">
        <v>14</v>
      </c>
      <c r="V3" s="2" t="s">
        <v>13</v>
      </c>
      <c r="W3" s="2" t="s">
        <v>12</v>
      </c>
      <c r="X3" s="2" t="s">
        <v>13</v>
      </c>
      <c r="Y3" s="2" t="s">
        <v>14</v>
      </c>
      <c r="Z3" s="2" t="s">
        <v>11</v>
      </c>
      <c r="AA3" s="2" t="s">
        <v>12</v>
      </c>
      <c r="AB3" s="2" t="s">
        <v>14</v>
      </c>
      <c r="AC3" s="2" t="s">
        <v>13</v>
      </c>
      <c r="AD3" s="2" t="s">
        <v>11</v>
      </c>
      <c r="AE3" s="2" t="s">
        <v>12</v>
      </c>
      <c r="AF3" s="2" t="s">
        <v>14</v>
      </c>
      <c r="AG3" s="2" t="s">
        <v>11</v>
      </c>
      <c r="AH3" s="2" t="s">
        <v>13</v>
      </c>
      <c r="AI3" s="2" t="s">
        <v>12</v>
      </c>
      <c r="AJ3" s="2" t="s">
        <v>11</v>
      </c>
      <c r="AK3" s="2" t="s">
        <v>12</v>
      </c>
      <c r="AL3" s="2" t="s">
        <v>13</v>
      </c>
      <c r="AM3" s="2" t="s">
        <v>14</v>
      </c>
      <c r="AN3" s="2" t="s">
        <v>11</v>
      </c>
      <c r="AO3" s="2" t="s">
        <v>12</v>
      </c>
      <c r="AP3" s="2" t="s">
        <v>14</v>
      </c>
      <c r="AQ3" s="2" t="s">
        <v>13</v>
      </c>
      <c r="AR3" s="2" t="s">
        <v>11</v>
      </c>
      <c r="AS3" s="2" t="s">
        <v>14</v>
      </c>
      <c r="AT3" s="2" t="s">
        <v>13</v>
      </c>
      <c r="AU3" s="2" t="s">
        <v>11</v>
      </c>
      <c r="AV3" s="2" t="s">
        <v>13</v>
      </c>
      <c r="AW3" s="2" t="s">
        <v>14</v>
      </c>
      <c r="AX3" s="2" t="s">
        <v>11</v>
      </c>
      <c r="AY3" s="2" t="s">
        <v>14</v>
      </c>
      <c r="AZ3" s="2" t="s">
        <v>13</v>
      </c>
      <c r="BA3" s="2" t="s">
        <v>13</v>
      </c>
      <c r="BB3" s="2" t="s">
        <v>11</v>
      </c>
      <c r="BC3" s="2" t="s">
        <v>14</v>
      </c>
      <c r="BD3" s="2" t="s">
        <v>11</v>
      </c>
      <c r="BE3" s="2" t="s">
        <v>14</v>
      </c>
      <c r="BF3" s="2" t="s">
        <v>13</v>
      </c>
      <c r="BG3" s="2" t="s">
        <v>14</v>
      </c>
      <c r="BH3" s="2" t="s">
        <v>13</v>
      </c>
      <c r="BI3" s="2" t="s">
        <v>11</v>
      </c>
      <c r="BJ3" s="2" t="s">
        <v>14</v>
      </c>
      <c r="BK3" s="2" t="s">
        <v>11</v>
      </c>
      <c r="BL3" s="2" t="s">
        <v>13</v>
      </c>
      <c r="BM3" s="2" t="s">
        <v>14</v>
      </c>
      <c r="BN3" s="2" t="s">
        <v>13</v>
      </c>
      <c r="BO3" s="2" t="s">
        <v>11</v>
      </c>
      <c r="BP3" s="2" t="s">
        <v>14</v>
      </c>
      <c r="BQ3" s="2" t="s">
        <v>11</v>
      </c>
      <c r="BR3" s="2" t="s">
        <v>13</v>
      </c>
      <c r="BS3" s="2" t="s">
        <v>14</v>
      </c>
      <c r="BT3" s="2" t="s">
        <v>11</v>
      </c>
      <c r="BU3" s="2" t="s">
        <v>13</v>
      </c>
      <c r="BV3" s="2"/>
      <c r="BW3" s="2"/>
    </row>
    <row r="4" spans="1:75" x14ac:dyDescent="0.3">
      <c r="A4" s="1">
        <v>46144.687789351854</v>
      </c>
      <c r="B4" s="2" t="s">
        <v>9</v>
      </c>
      <c r="C4" s="2" t="s">
        <v>10</v>
      </c>
      <c r="D4" s="2" t="s">
        <v>11</v>
      </c>
      <c r="E4" s="2" t="s">
        <v>12</v>
      </c>
      <c r="F4" s="2" t="s">
        <v>13</v>
      </c>
      <c r="G4" s="2" t="s">
        <v>14</v>
      </c>
      <c r="H4" s="2" t="s">
        <v>11</v>
      </c>
      <c r="I4" s="2" t="s">
        <v>14</v>
      </c>
      <c r="J4" s="2" t="s">
        <v>12</v>
      </c>
      <c r="K4" s="2" t="s">
        <v>13</v>
      </c>
      <c r="L4" s="2" t="s">
        <v>12</v>
      </c>
      <c r="M4" s="2" t="s">
        <v>13</v>
      </c>
      <c r="N4" s="2" t="s">
        <v>14</v>
      </c>
      <c r="O4" s="2" t="s">
        <v>11</v>
      </c>
      <c r="P4" s="2" t="s">
        <v>11</v>
      </c>
      <c r="Q4" s="2" t="s">
        <v>12</v>
      </c>
      <c r="R4" s="2" t="s">
        <v>13</v>
      </c>
      <c r="S4" s="2" t="s">
        <v>14</v>
      </c>
      <c r="T4" s="2" t="s">
        <v>11</v>
      </c>
      <c r="U4" s="2" t="s">
        <v>12</v>
      </c>
      <c r="V4" s="2" t="s">
        <v>13</v>
      </c>
      <c r="W4" s="2" t="s">
        <v>14</v>
      </c>
      <c r="X4" s="2" t="s">
        <v>14</v>
      </c>
      <c r="Y4" s="2" t="s">
        <v>13</v>
      </c>
      <c r="Z4" s="2" t="s">
        <v>12</v>
      </c>
      <c r="AA4" s="2" t="s">
        <v>11</v>
      </c>
      <c r="AB4" s="2" t="s">
        <v>11</v>
      </c>
      <c r="AC4" s="2" t="s">
        <v>12</v>
      </c>
      <c r="AD4" s="2" t="s">
        <v>13</v>
      </c>
      <c r="AE4" s="2" t="s">
        <v>14</v>
      </c>
      <c r="AF4" s="2" t="s">
        <v>13</v>
      </c>
      <c r="AG4" s="2" t="s">
        <v>14</v>
      </c>
      <c r="AH4" s="2" t="s">
        <v>12</v>
      </c>
      <c r="AI4" s="2" t="s">
        <v>11</v>
      </c>
      <c r="AJ4" s="2" t="s">
        <v>11</v>
      </c>
      <c r="AK4" s="2" t="s">
        <v>12</v>
      </c>
      <c r="AL4" s="2" t="s">
        <v>13</v>
      </c>
      <c r="AM4" s="2" t="s">
        <v>14</v>
      </c>
      <c r="AN4" s="2" t="s">
        <v>12</v>
      </c>
      <c r="AO4" s="2" t="s">
        <v>11</v>
      </c>
      <c r="AP4" s="2" t="s">
        <v>13</v>
      </c>
      <c r="AQ4" s="2" t="s">
        <v>14</v>
      </c>
      <c r="AR4" s="2" t="s">
        <v>14</v>
      </c>
      <c r="AS4" s="2" t="s">
        <v>13</v>
      </c>
      <c r="AT4" s="2" t="s">
        <v>11</v>
      </c>
      <c r="AU4" s="2" t="s">
        <v>14</v>
      </c>
      <c r="AV4" s="2" t="s">
        <v>11</v>
      </c>
      <c r="AW4" s="2" t="s">
        <v>13</v>
      </c>
      <c r="AX4" s="2" t="s">
        <v>13</v>
      </c>
      <c r="AY4" s="2" t="s">
        <v>11</v>
      </c>
      <c r="AZ4" s="2" t="s">
        <v>14</v>
      </c>
      <c r="BA4" s="2" t="s">
        <v>11</v>
      </c>
      <c r="BB4" s="2" t="s">
        <v>13</v>
      </c>
      <c r="BC4" s="2" t="s">
        <v>14</v>
      </c>
      <c r="BD4" s="2" t="s">
        <v>14</v>
      </c>
      <c r="BE4" s="2" t="s">
        <v>11</v>
      </c>
      <c r="BF4" s="2" t="s">
        <v>13</v>
      </c>
      <c r="BG4" s="2" t="s">
        <v>11</v>
      </c>
      <c r="BH4" s="2" t="s">
        <v>14</v>
      </c>
      <c r="BI4" s="2" t="s">
        <v>13</v>
      </c>
      <c r="BJ4" s="2" t="s">
        <v>14</v>
      </c>
      <c r="BK4" s="2" t="s">
        <v>11</v>
      </c>
      <c r="BL4" s="2" t="s">
        <v>13</v>
      </c>
      <c r="BM4" s="2" t="s">
        <v>13</v>
      </c>
      <c r="BN4" s="2" t="s">
        <v>11</v>
      </c>
      <c r="BO4" s="2" t="s">
        <v>14</v>
      </c>
      <c r="BP4" s="2" t="s">
        <v>11</v>
      </c>
      <c r="BQ4" s="2" t="s">
        <v>13</v>
      </c>
      <c r="BR4" s="2" t="s">
        <v>14</v>
      </c>
      <c r="BS4" s="2" t="s">
        <v>11</v>
      </c>
      <c r="BT4" s="2" t="s">
        <v>13</v>
      </c>
      <c r="BU4" s="2" t="s">
        <v>14</v>
      </c>
      <c r="BV4" s="2"/>
      <c r="BW4" s="2"/>
    </row>
    <row r="5" spans="1:75" x14ac:dyDescent="0.3">
      <c r="A5" s="1">
        <v>46144.709456018521</v>
      </c>
      <c r="B5" s="2" t="s">
        <v>9</v>
      </c>
      <c r="C5" s="2" t="s">
        <v>15</v>
      </c>
      <c r="D5" s="2" t="s">
        <v>13</v>
      </c>
      <c r="E5" s="2" t="s">
        <v>12</v>
      </c>
      <c r="F5" s="2" t="s">
        <v>11</v>
      </c>
      <c r="G5" s="2" t="s">
        <v>14</v>
      </c>
      <c r="H5" s="2" t="s">
        <v>13</v>
      </c>
      <c r="I5" s="2" t="s">
        <v>14</v>
      </c>
      <c r="J5" s="2" t="s">
        <v>12</v>
      </c>
      <c r="K5" s="2" t="s">
        <v>11</v>
      </c>
      <c r="L5" s="2" t="s">
        <v>12</v>
      </c>
      <c r="M5" s="2" t="s">
        <v>14</v>
      </c>
      <c r="N5" s="2" t="s">
        <v>11</v>
      </c>
      <c r="O5" s="2" t="s">
        <v>13</v>
      </c>
      <c r="P5" s="2" t="s">
        <v>11</v>
      </c>
      <c r="Q5" s="2" t="s">
        <v>12</v>
      </c>
      <c r="R5" s="2" t="s">
        <v>13</v>
      </c>
      <c r="S5" s="2" t="s">
        <v>14</v>
      </c>
      <c r="T5" s="2" t="s">
        <v>11</v>
      </c>
      <c r="U5" s="2" t="s">
        <v>12</v>
      </c>
      <c r="V5" s="2" t="s">
        <v>13</v>
      </c>
      <c r="W5" s="2" t="s">
        <v>14</v>
      </c>
      <c r="X5" s="2" t="s">
        <v>14</v>
      </c>
      <c r="Y5" s="2" t="s">
        <v>13</v>
      </c>
      <c r="Z5" s="2" t="s">
        <v>12</v>
      </c>
      <c r="AA5" s="2" t="s">
        <v>11</v>
      </c>
      <c r="AB5" s="2" t="s">
        <v>11</v>
      </c>
      <c r="AC5" s="2" t="s">
        <v>12</v>
      </c>
      <c r="AD5" s="2" t="s">
        <v>13</v>
      </c>
      <c r="AE5" s="2" t="s">
        <v>14</v>
      </c>
      <c r="AF5" s="2" t="s">
        <v>14</v>
      </c>
      <c r="AG5" s="2" t="s">
        <v>13</v>
      </c>
      <c r="AH5" s="2" t="s">
        <v>12</v>
      </c>
      <c r="AI5" s="2" t="s">
        <v>11</v>
      </c>
      <c r="AJ5" s="2" t="s">
        <v>11</v>
      </c>
      <c r="AK5" s="2" t="s">
        <v>12</v>
      </c>
      <c r="AL5" s="2" t="s">
        <v>13</v>
      </c>
      <c r="AM5" s="2" t="s">
        <v>14</v>
      </c>
      <c r="AN5" s="2" t="s">
        <v>12</v>
      </c>
      <c r="AO5" s="2" t="s">
        <v>13</v>
      </c>
      <c r="AP5" s="2" t="s">
        <v>14</v>
      </c>
      <c r="AQ5" s="2" t="s">
        <v>11</v>
      </c>
      <c r="AR5" s="2" t="s">
        <v>14</v>
      </c>
      <c r="AS5" s="2" t="s">
        <v>13</v>
      </c>
      <c r="AT5" s="2" t="s">
        <v>11</v>
      </c>
      <c r="AU5" s="2" t="s">
        <v>14</v>
      </c>
      <c r="AV5" s="2" t="s">
        <v>13</v>
      </c>
      <c r="AW5" s="2" t="s">
        <v>11</v>
      </c>
      <c r="AX5" s="2" t="s">
        <v>11</v>
      </c>
      <c r="AY5" s="2" t="s">
        <v>14</v>
      </c>
      <c r="AZ5" s="2" t="s">
        <v>13</v>
      </c>
      <c r="BA5" s="2" t="s">
        <v>11</v>
      </c>
      <c r="BB5" s="2" t="s">
        <v>13</v>
      </c>
      <c r="BC5" s="2" t="s">
        <v>14</v>
      </c>
      <c r="BD5" s="2" t="s">
        <v>14</v>
      </c>
      <c r="BE5" s="2" t="s">
        <v>11</v>
      </c>
      <c r="BF5" s="2" t="s">
        <v>13</v>
      </c>
      <c r="BG5" s="2" t="s">
        <v>11</v>
      </c>
      <c r="BH5" s="2" t="s">
        <v>14</v>
      </c>
      <c r="BI5" s="2" t="s">
        <v>13</v>
      </c>
      <c r="BJ5" s="2" t="s">
        <v>14</v>
      </c>
      <c r="BK5" s="2" t="s">
        <v>11</v>
      </c>
      <c r="BL5" s="2" t="s">
        <v>13</v>
      </c>
      <c r="BM5" s="2" t="s">
        <v>14</v>
      </c>
      <c r="BN5" s="2" t="s">
        <v>11</v>
      </c>
      <c r="BO5" s="2" t="s">
        <v>13</v>
      </c>
      <c r="BP5" s="2" t="s">
        <v>11</v>
      </c>
      <c r="BQ5" s="2" t="s">
        <v>13</v>
      </c>
      <c r="BR5" s="2" t="s">
        <v>14</v>
      </c>
      <c r="BS5" s="2" t="s">
        <v>11</v>
      </c>
      <c r="BT5" s="2" t="s">
        <v>13</v>
      </c>
      <c r="BU5" s="2" t="s">
        <v>14</v>
      </c>
      <c r="BV5" s="2"/>
      <c r="BW5" s="2"/>
    </row>
    <row r="6" spans="1:75" x14ac:dyDescent="0.3">
      <c r="A6" s="1">
        <v>46144.717731481483</v>
      </c>
      <c r="B6" s="2" t="s">
        <v>9</v>
      </c>
      <c r="C6" s="2" t="s">
        <v>10</v>
      </c>
      <c r="D6" s="2" t="s">
        <v>13</v>
      </c>
      <c r="E6" s="2" t="s">
        <v>12</v>
      </c>
      <c r="F6" s="2" t="s">
        <v>14</v>
      </c>
      <c r="G6" s="2" t="s">
        <v>11</v>
      </c>
      <c r="H6" s="2" t="s">
        <v>11</v>
      </c>
      <c r="I6" s="2" t="s">
        <v>14</v>
      </c>
      <c r="J6" s="2" t="s">
        <v>12</v>
      </c>
      <c r="K6" s="2" t="s">
        <v>13</v>
      </c>
      <c r="L6" s="2" t="s">
        <v>13</v>
      </c>
      <c r="M6" s="2" t="s">
        <v>11</v>
      </c>
      <c r="N6" s="2" t="s">
        <v>14</v>
      </c>
      <c r="O6" s="2" t="s">
        <v>12</v>
      </c>
      <c r="P6" s="2" t="s">
        <v>11</v>
      </c>
      <c r="Q6" s="2" t="s">
        <v>12</v>
      </c>
      <c r="R6" s="2" t="s">
        <v>13</v>
      </c>
      <c r="S6" s="2" t="s">
        <v>14</v>
      </c>
      <c r="T6" s="2" t="s">
        <v>11</v>
      </c>
      <c r="U6" s="2" t="s">
        <v>12</v>
      </c>
      <c r="V6" s="2" t="s">
        <v>13</v>
      </c>
      <c r="W6" s="2" t="s">
        <v>14</v>
      </c>
      <c r="X6" s="2" t="s">
        <v>11</v>
      </c>
      <c r="Y6" s="2" t="s">
        <v>13</v>
      </c>
      <c r="Z6" s="2" t="s">
        <v>12</v>
      </c>
      <c r="AA6" s="2" t="s">
        <v>14</v>
      </c>
      <c r="AB6" s="2" t="s">
        <v>11</v>
      </c>
      <c r="AC6" s="2" t="s">
        <v>12</v>
      </c>
      <c r="AD6" s="2" t="s">
        <v>13</v>
      </c>
      <c r="AE6" s="2" t="s">
        <v>14</v>
      </c>
      <c r="AF6" s="2" t="s">
        <v>13</v>
      </c>
      <c r="AG6" s="2" t="s">
        <v>14</v>
      </c>
      <c r="AH6" s="2" t="s">
        <v>12</v>
      </c>
      <c r="AI6" s="2" t="s">
        <v>11</v>
      </c>
      <c r="AJ6" s="2" t="s">
        <v>11</v>
      </c>
      <c r="AK6" s="2" t="s">
        <v>13</v>
      </c>
      <c r="AL6" s="2" t="s">
        <v>12</v>
      </c>
      <c r="AM6" s="2" t="s">
        <v>14</v>
      </c>
      <c r="AN6" s="2" t="s">
        <v>12</v>
      </c>
      <c r="AO6" s="2" t="s">
        <v>11</v>
      </c>
      <c r="AP6" s="2" t="s">
        <v>13</v>
      </c>
      <c r="AQ6" s="2" t="s">
        <v>14</v>
      </c>
      <c r="AR6" s="2" t="s">
        <v>14</v>
      </c>
      <c r="AS6" s="2" t="s">
        <v>11</v>
      </c>
      <c r="AT6" s="2" t="s">
        <v>13</v>
      </c>
      <c r="AU6" s="2" t="s">
        <v>13</v>
      </c>
      <c r="AV6" s="2" t="s">
        <v>14</v>
      </c>
      <c r="AW6" s="2" t="s">
        <v>11</v>
      </c>
      <c r="AX6" s="2" t="s">
        <v>13</v>
      </c>
      <c r="AY6" s="2" t="s">
        <v>14</v>
      </c>
      <c r="AZ6" s="2" t="s">
        <v>11</v>
      </c>
      <c r="BA6" s="2" t="s">
        <v>11</v>
      </c>
      <c r="BB6" s="2" t="s">
        <v>13</v>
      </c>
      <c r="BC6" s="2" t="s">
        <v>14</v>
      </c>
      <c r="BD6" s="2" t="s">
        <v>14</v>
      </c>
      <c r="BE6" s="2" t="s">
        <v>13</v>
      </c>
      <c r="BF6" s="2" t="s">
        <v>11</v>
      </c>
      <c r="BG6" s="2" t="s">
        <v>11</v>
      </c>
      <c r="BH6" s="2" t="s">
        <v>13</v>
      </c>
      <c r="BI6" s="2" t="s">
        <v>14</v>
      </c>
      <c r="BJ6" s="2" t="s">
        <v>13</v>
      </c>
      <c r="BK6" s="2" t="s">
        <v>11</v>
      </c>
      <c r="BL6" s="2" t="s">
        <v>14</v>
      </c>
      <c r="BM6" s="2" t="s">
        <v>14</v>
      </c>
      <c r="BN6" s="2" t="s">
        <v>11</v>
      </c>
      <c r="BO6" s="2" t="s">
        <v>13</v>
      </c>
      <c r="BP6" s="2" t="s">
        <v>13</v>
      </c>
      <c r="BQ6" s="2" t="s">
        <v>11</v>
      </c>
      <c r="BR6" s="2" t="s">
        <v>14</v>
      </c>
      <c r="BS6" s="2" t="s">
        <v>13</v>
      </c>
      <c r="BT6" s="2" t="s">
        <v>11</v>
      </c>
      <c r="BU6" s="2" t="s">
        <v>14</v>
      </c>
      <c r="BV6" s="2"/>
      <c r="BW6" s="2"/>
    </row>
    <row r="7" spans="1:75" x14ac:dyDescent="0.3">
      <c r="A7" s="1">
        <v>46144.722384259258</v>
      </c>
      <c r="B7" s="2" t="s">
        <v>9</v>
      </c>
      <c r="C7" s="2" t="s">
        <v>16</v>
      </c>
      <c r="D7" s="2" t="s">
        <v>14</v>
      </c>
      <c r="E7" s="2" t="s">
        <v>12</v>
      </c>
      <c r="F7" s="2" t="s">
        <v>13</v>
      </c>
      <c r="G7" s="2" t="s">
        <v>11</v>
      </c>
      <c r="H7" s="2" t="s">
        <v>13</v>
      </c>
      <c r="I7" s="2" t="s">
        <v>12</v>
      </c>
      <c r="J7" s="2" t="s">
        <v>14</v>
      </c>
      <c r="K7" s="2" t="s">
        <v>11</v>
      </c>
      <c r="L7" s="2" t="s">
        <v>13</v>
      </c>
      <c r="M7" s="2" t="s">
        <v>12</v>
      </c>
      <c r="N7" s="2" t="s">
        <v>11</v>
      </c>
      <c r="O7" s="2" t="s">
        <v>14</v>
      </c>
      <c r="P7" s="2" t="s">
        <v>11</v>
      </c>
      <c r="Q7" s="2" t="s">
        <v>12</v>
      </c>
      <c r="R7" s="2" t="s">
        <v>13</v>
      </c>
      <c r="S7" s="2" t="s">
        <v>14</v>
      </c>
      <c r="T7" s="2" t="s">
        <v>11</v>
      </c>
      <c r="U7" s="2" t="s">
        <v>12</v>
      </c>
      <c r="V7" s="2" t="s">
        <v>13</v>
      </c>
      <c r="W7" s="2" t="s">
        <v>14</v>
      </c>
      <c r="X7" s="2" t="s">
        <v>11</v>
      </c>
      <c r="Y7" s="2" t="s">
        <v>13</v>
      </c>
      <c r="Z7" s="2" t="s">
        <v>12</v>
      </c>
      <c r="AA7" s="2" t="s">
        <v>14</v>
      </c>
      <c r="AB7" s="2" t="s">
        <v>11</v>
      </c>
      <c r="AC7" s="2" t="s">
        <v>14</v>
      </c>
      <c r="AD7" s="2" t="s">
        <v>13</v>
      </c>
      <c r="AE7" s="2" t="s">
        <v>12</v>
      </c>
      <c r="AF7" s="2" t="s">
        <v>12</v>
      </c>
      <c r="AG7" s="2" t="s">
        <v>13</v>
      </c>
      <c r="AH7" s="2" t="s">
        <v>14</v>
      </c>
      <c r="AI7" s="2" t="s">
        <v>11</v>
      </c>
      <c r="AJ7" s="2" t="s">
        <v>12</v>
      </c>
      <c r="AK7" s="2" t="s">
        <v>13</v>
      </c>
      <c r="AL7" s="2" t="s">
        <v>11</v>
      </c>
      <c r="AM7" s="2" t="s">
        <v>14</v>
      </c>
      <c r="AN7" s="2" t="s">
        <v>14</v>
      </c>
      <c r="AO7" s="2" t="s">
        <v>13</v>
      </c>
      <c r="AP7" s="2" t="s">
        <v>11</v>
      </c>
      <c r="AQ7" s="2" t="s">
        <v>12</v>
      </c>
      <c r="AR7" s="2" t="s">
        <v>14</v>
      </c>
      <c r="AS7" s="2" t="s">
        <v>13</v>
      </c>
      <c r="AT7" s="2" t="s">
        <v>11</v>
      </c>
      <c r="AU7" s="2" t="s">
        <v>14</v>
      </c>
      <c r="AV7" s="2" t="s">
        <v>13</v>
      </c>
      <c r="AW7" s="2" t="s">
        <v>11</v>
      </c>
      <c r="AX7" s="2" t="s">
        <v>13</v>
      </c>
      <c r="AY7" s="2" t="s">
        <v>14</v>
      </c>
      <c r="AZ7" s="2" t="s">
        <v>11</v>
      </c>
      <c r="BA7" s="2" t="s">
        <v>13</v>
      </c>
      <c r="BB7" s="2" t="s">
        <v>11</v>
      </c>
      <c r="BC7" s="2" t="s">
        <v>14</v>
      </c>
      <c r="BD7" s="2" t="s">
        <v>14</v>
      </c>
      <c r="BE7" s="2" t="s">
        <v>13</v>
      </c>
      <c r="BF7" s="2" t="s">
        <v>11</v>
      </c>
      <c r="BG7" s="2" t="s">
        <v>11</v>
      </c>
      <c r="BH7" s="2" t="s">
        <v>14</v>
      </c>
      <c r="BI7" s="2" t="s">
        <v>13</v>
      </c>
      <c r="BJ7" s="2" t="s">
        <v>13</v>
      </c>
      <c r="BK7" s="2" t="s">
        <v>14</v>
      </c>
      <c r="BL7" s="2" t="s">
        <v>11</v>
      </c>
      <c r="BM7" s="2" t="s">
        <v>14</v>
      </c>
      <c r="BN7" s="2" t="s">
        <v>13</v>
      </c>
      <c r="BO7" s="2" t="s">
        <v>11</v>
      </c>
      <c r="BP7" s="2" t="s">
        <v>11</v>
      </c>
      <c r="BQ7" s="2" t="s">
        <v>13</v>
      </c>
      <c r="BR7" s="2" t="s">
        <v>14</v>
      </c>
      <c r="BS7" s="2" t="s">
        <v>11</v>
      </c>
      <c r="BT7" s="2" t="s">
        <v>13</v>
      </c>
      <c r="BU7" s="2" t="s">
        <v>14</v>
      </c>
      <c r="BV7" s="2"/>
      <c r="BW7" s="2"/>
    </row>
    <row r="8" spans="1:75" x14ac:dyDescent="0.3">
      <c r="A8" s="1">
        <v>46144.745497685188</v>
      </c>
      <c r="B8" s="2" t="s">
        <v>9</v>
      </c>
      <c r="C8" s="2" t="s">
        <v>16</v>
      </c>
      <c r="D8" s="2" t="s">
        <v>12</v>
      </c>
      <c r="E8" s="2" t="s">
        <v>11</v>
      </c>
      <c r="F8" s="2" t="s">
        <v>12</v>
      </c>
      <c r="G8" s="2" t="s">
        <v>13</v>
      </c>
      <c r="H8" s="2" t="s">
        <v>12</v>
      </c>
      <c r="I8" s="2" t="s">
        <v>12</v>
      </c>
      <c r="J8" s="2" t="s">
        <v>14</v>
      </c>
      <c r="K8" s="2" t="s">
        <v>14</v>
      </c>
      <c r="L8" s="2" t="s">
        <v>12</v>
      </c>
      <c r="M8" s="2" t="s">
        <v>11</v>
      </c>
      <c r="N8" s="2" t="s">
        <v>12</v>
      </c>
      <c r="O8" s="2" t="s">
        <v>11</v>
      </c>
      <c r="P8" s="2" t="s">
        <v>13</v>
      </c>
      <c r="Q8" s="2" t="s">
        <v>12</v>
      </c>
      <c r="R8" s="2" t="s">
        <v>12</v>
      </c>
      <c r="S8" s="2" t="s">
        <v>12</v>
      </c>
      <c r="T8" s="2" t="s">
        <v>13</v>
      </c>
      <c r="U8" s="2" t="s">
        <v>13</v>
      </c>
      <c r="V8" s="2" t="s">
        <v>12</v>
      </c>
      <c r="W8" s="2" t="s">
        <v>14</v>
      </c>
      <c r="X8" s="2" t="s">
        <v>13</v>
      </c>
      <c r="Y8" s="2" t="s">
        <v>14</v>
      </c>
      <c r="Z8" s="2" t="s">
        <v>14</v>
      </c>
      <c r="AA8" s="2" t="s">
        <v>14</v>
      </c>
      <c r="AB8" s="2" t="s">
        <v>12</v>
      </c>
      <c r="AC8" s="2" t="s">
        <v>12</v>
      </c>
      <c r="AD8" s="2" t="s">
        <v>12</v>
      </c>
      <c r="AE8" s="2" t="s">
        <v>12</v>
      </c>
      <c r="AF8" s="2" t="s">
        <v>14</v>
      </c>
      <c r="AG8" s="2" t="s">
        <v>14</v>
      </c>
      <c r="AH8" s="2" t="s">
        <v>12</v>
      </c>
      <c r="AI8" s="2" t="s">
        <v>13</v>
      </c>
      <c r="AJ8" s="2" t="s">
        <v>11</v>
      </c>
      <c r="AK8" s="2" t="s">
        <v>14</v>
      </c>
      <c r="AL8" s="2" t="s">
        <v>13</v>
      </c>
      <c r="AM8" s="2" t="s">
        <v>14</v>
      </c>
      <c r="AN8" s="2" t="s">
        <v>14</v>
      </c>
      <c r="AO8" s="2" t="s">
        <v>11</v>
      </c>
      <c r="AP8" s="2" t="s">
        <v>11</v>
      </c>
      <c r="AQ8" s="2" t="s">
        <v>13</v>
      </c>
      <c r="AR8" s="2" t="s">
        <v>11</v>
      </c>
      <c r="AS8" s="2" t="s">
        <v>14</v>
      </c>
      <c r="AT8" s="2" t="s">
        <v>14</v>
      </c>
      <c r="AU8" s="2" t="s">
        <v>13</v>
      </c>
      <c r="AV8" s="2" t="s">
        <v>14</v>
      </c>
      <c r="AW8" s="2" t="s">
        <v>14</v>
      </c>
      <c r="AX8" s="2" t="s">
        <v>13</v>
      </c>
      <c r="AY8" s="2" t="s">
        <v>13</v>
      </c>
      <c r="AZ8" s="2" t="s">
        <v>13</v>
      </c>
      <c r="BA8" s="2" t="s">
        <v>11</v>
      </c>
      <c r="BB8" s="2" t="s">
        <v>13</v>
      </c>
      <c r="BC8" s="2" t="s">
        <v>11</v>
      </c>
      <c r="BD8" s="2" t="s">
        <v>13</v>
      </c>
      <c r="BE8" s="2" t="s">
        <v>14</v>
      </c>
      <c r="BF8" s="2" t="s">
        <v>14</v>
      </c>
      <c r="BG8" s="2" t="s">
        <v>13</v>
      </c>
      <c r="BH8" s="2" t="s">
        <v>14</v>
      </c>
      <c r="BI8" s="2" t="s">
        <v>14</v>
      </c>
      <c r="BJ8" s="2" t="s">
        <v>14</v>
      </c>
      <c r="BK8" s="2" t="s">
        <v>11</v>
      </c>
      <c r="BL8" s="2" t="s">
        <v>11</v>
      </c>
      <c r="BM8" s="2" t="s">
        <v>14</v>
      </c>
      <c r="BN8" s="2" t="s">
        <v>13</v>
      </c>
      <c r="BO8" s="2" t="s">
        <v>14</v>
      </c>
      <c r="BP8" s="2" t="s">
        <v>13</v>
      </c>
      <c r="BQ8" s="2" t="s">
        <v>14</v>
      </c>
      <c r="BR8" s="2" t="s">
        <v>14</v>
      </c>
      <c r="BS8" s="2" t="s">
        <v>11</v>
      </c>
      <c r="BT8" s="2" t="s">
        <v>11</v>
      </c>
      <c r="BU8" s="2" t="s">
        <v>14</v>
      </c>
      <c r="BV8" s="2"/>
      <c r="BW8" s="2"/>
    </row>
    <row r="9" spans="1:75" x14ac:dyDescent="0.3">
      <c r="A9" s="1">
        <v>46144.848645833335</v>
      </c>
      <c r="B9" s="2" t="s">
        <v>9</v>
      </c>
      <c r="C9" s="2" t="s">
        <v>10</v>
      </c>
      <c r="D9" s="2" t="s">
        <v>12</v>
      </c>
      <c r="E9" s="2" t="s">
        <v>14</v>
      </c>
      <c r="F9" s="2" t="s">
        <v>11</v>
      </c>
      <c r="G9" s="2" t="s">
        <v>13</v>
      </c>
      <c r="H9" s="2" t="s">
        <v>11</v>
      </c>
      <c r="I9" s="2" t="s">
        <v>12</v>
      </c>
      <c r="J9" s="2" t="s">
        <v>13</v>
      </c>
      <c r="K9" s="2" t="s">
        <v>14</v>
      </c>
      <c r="L9" s="2" t="s">
        <v>12</v>
      </c>
      <c r="M9" s="2" t="s">
        <v>14</v>
      </c>
      <c r="N9" s="2" t="s">
        <v>13</v>
      </c>
      <c r="O9" s="2" t="s">
        <v>11</v>
      </c>
      <c r="P9" s="2" t="s">
        <v>11</v>
      </c>
      <c r="Q9" s="2" t="s">
        <v>14</v>
      </c>
      <c r="R9" s="2" t="s">
        <v>12</v>
      </c>
      <c r="S9" s="2" t="s">
        <v>13</v>
      </c>
      <c r="T9" s="2" t="s">
        <v>11</v>
      </c>
      <c r="U9" s="2" t="s">
        <v>14</v>
      </c>
      <c r="V9" s="2" t="s">
        <v>12</v>
      </c>
      <c r="W9" s="2" t="s">
        <v>13</v>
      </c>
      <c r="X9" s="2" t="s">
        <v>12</v>
      </c>
      <c r="Y9" s="2" t="s">
        <v>13</v>
      </c>
      <c r="Z9" s="2" t="s">
        <v>14</v>
      </c>
      <c r="AA9" s="2" t="s">
        <v>11</v>
      </c>
      <c r="AB9" s="2" t="s">
        <v>11</v>
      </c>
      <c r="AC9" s="2" t="s">
        <v>14</v>
      </c>
      <c r="AD9" s="2" t="s">
        <v>13</v>
      </c>
      <c r="AE9" s="2" t="s">
        <v>12</v>
      </c>
      <c r="AF9" s="2" t="s">
        <v>12</v>
      </c>
      <c r="AG9" s="2" t="s">
        <v>13</v>
      </c>
      <c r="AH9" s="2" t="s">
        <v>14</v>
      </c>
      <c r="AI9" s="2" t="s">
        <v>11</v>
      </c>
      <c r="AJ9" s="2" t="s">
        <v>11</v>
      </c>
      <c r="AK9" s="2" t="s">
        <v>12</v>
      </c>
      <c r="AL9" s="2" t="s">
        <v>14</v>
      </c>
      <c r="AM9" s="2" t="s">
        <v>13</v>
      </c>
      <c r="AN9" s="2" t="s">
        <v>11</v>
      </c>
      <c r="AO9" s="2" t="s">
        <v>12</v>
      </c>
      <c r="AP9" s="2" t="s">
        <v>14</v>
      </c>
      <c r="AQ9" s="2" t="s">
        <v>13</v>
      </c>
      <c r="AR9" s="2" t="s">
        <v>13</v>
      </c>
      <c r="AS9" s="2" t="s">
        <v>14</v>
      </c>
      <c r="AT9" s="2" t="s">
        <v>11</v>
      </c>
      <c r="AU9" s="2" t="s">
        <v>14</v>
      </c>
      <c r="AV9" s="2" t="s">
        <v>13</v>
      </c>
      <c r="AW9" s="2" t="s">
        <v>11</v>
      </c>
      <c r="AX9" s="2" t="s">
        <v>13</v>
      </c>
      <c r="AY9" s="2" t="s">
        <v>14</v>
      </c>
      <c r="AZ9" s="2" t="s">
        <v>11</v>
      </c>
      <c r="BA9" s="2" t="s">
        <v>13</v>
      </c>
      <c r="BB9" s="2" t="s">
        <v>11</v>
      </c>
      <c r="BC9" s="2" t="s">
        <v>14</v>
      </c>
      <c r="BD9" s="2" t="s">
        <v>11</v>
      </c>
      <c r="BE9" s="2" t="s">
        <v>13</v>
      </c>
      <c r="BF9" s="2" t="s">
        <v>14</v>
      </c>
      <c r="BG9" s="2" t="s">
        <v>11</v>
      </c>
      <c r="BH9" s="2" t="s">
        <v>13</v>
      </c>
      <c r="BI9" s="2" t="s">
        <v>14</v>
      </c>
      <c r="BJ9" s="2" t="s">
        <v>13</v>
      </c>
      <c r="BK9" s="2" t="s">
        <v>14</v>
      </c>
      <c r="BL9" s="2" t="s">
        <v>11</v>
      </c>
      <c r="BM9" s="2" t="s">
        <v>14</v>
      </c>
      <c r="BN9" s="2" t="s">
        <v>13</v>
      </c>
      <c r="BO9" s="2" t="s">
        <v>11</v>
      </c>
      <c r="BP9" s="2" t="s">
        <v>11</v>
      </c>
      <c r="BQ9" s="2" t="s">
        <v>14</v>
      </c>
      <c r="BR9" s="2" t="s">
        <v>13</v>
      </c>
      <c r="BS9" s="2" t="s">
        <v>11</v>
      </c>
      <c r="BT9" s="2" t="s">
        <v>13</v>
      </c>
      <c r="BU9" s="2" t="s">
        <v>14</v>
      </c>
      <c r="BV9" s="2"/>
      <c r="BW9" s="2"/>
    </row>
    <row r="10" spans="1:75" x14ac:dyDescent="0.3">
      <c r="A10" s="1">
        <v>46144.910497685189</v>
      </c>
      <c r="B10" s="2" t="s">
        <v>9</v>
      </c>
      <c r="C10" s="2" t="s">
        <v>10</v>
      </c>
      <c r="D10" s="2" t="s">
        <v>14</v>
      </c>
      <c r="E10" s="2" t="s">
        <v>11</v>
      </c>
      <c r="F10" s="2" t="s">
        <v>12</v>
      </c>
      <c r="G10" s="2" t="s">
        <v>13</v>
      </c>
      <c r="H10" s="2" t="s">
        <v>11</v>
      </c>
      <c r="I10" s="2" t="s">
        <v>12</v>
      </c>
      <c r="J10" s="2" t="s">
        <v>14</v>
      </c>
      <c r="K10" s="2" t="s">
        <v>13</v>
      </c>
      <c r="L10" s="2" t="s">
        <v>13</v>
      </c>
      <c r="M10" s="2" t="s">
        <v>12</v>
      </c>
      <c r="N10" s="2" t="s">
        <v>14</v>
      </c>
      <c r="O10" s="2" t="s">
        <v>11</v>
      </c>
      <c r="P10" s="2" t="s">
        <v>11</v>
      </c>
      <c r="Q10" s="2" t="s">
        <v>12</v>
      </c>
      <c r="R10" s="2" t="s">
        <v>13</v>
      </c>
      <c r="S10" s="2" t="s">
        <v>14</v>
      </c>
      <c r="T10" s="2" t="s">
        <v>11</v>
      </c>
      <c r="U10" s="2" t="s">
        <v>12</v>
      </c>
      <c r="V10" s="2" t="s">
        <v>13</v>
      </c>
      <c r="W10" s="2" t="s">
        <v>14</v>
      </c>
      <c r="X10" s="2" t="s">
        <v>14</v>
      </c>
      <c r="Y10" s="2" t="s">
        <v>13</v>
      </c>
      <c r="Z10" s="2" t="s">
        <v>12</v>
      </c>
      <c r="AA10" s="2" t="s">
        <v>11</v>
      </c>
      <c r="AB10" s="2" t="s">
        <v>13</v>
      </c>
      <c r="AC10" s="2" t="s">
        <v>14</v>
      </c>
      <c r="AD10" s="2" t="s">
        <v>11</v>
      </c>
      <c r="AE10" s="2" t="s">
        <v>12</v>
      </c>
      <c r="AF10" s="2" t="s">
        <v>14</v>
      </c>
      <c r="AG10" s="2" t="s">
        <v>13</v>
      </c>
      <c r="AH10" s="2" t="s">
        <v>12</v>
      </c>
      <c r="AI10" s="2" t="s">
        <v>11</v>
      </c>
      <c r="AJ10" s="2" t="s">
        <v>11</v>
      </c>
      <c r="AK10" s="2" t="s">
        <v>14</v>
      </c>
      <c r="AL10" s="2" t="s">
        <v>13</v>
      </c>
      <c r="AM10" s="2" t="s">
        <v>12</v>
      </c>
      <c r="AN10" s="2" t="s">
        <v>12</v>
      </c>
      <c r="AO10" s="2" t="s">
        <v>11</v>
      </c>
      <c r="AP10" s="2" t="s">
        <v>13</v>
      </c>
      <c r="AQ10" s="2" t="s">
        <v>14</v>
      </c>
      <c r="AR10" s="2" t="s">
        <v>14</v>
      </c>
      <c r="AS10" s="2" t="s">
        <v>13</v>
      </c>
      <c r="AT10" s="2" t="s">
        <v>11</v>
      </c>
      <c r="AU10" s="2" t="s">
        <v>14</v>
      </c>
      <c r="AV10" s="2" t="s">
        <v>13</v>
      </c>
      <c r="AW10" s="2" t="s">
        <v>11</v>
      </c>
      <c r="AX10" s="2" t="s">
        <v>14</v>
      </c>
      <c r="AY10" s="2" t="s">
        <v>11</v>
      </c>
      <c r="AZ10" s="2" t="s">
        <v>13</v>
      </c>
      <c r="BA10" s="2" t="s">
        <v>11</v>
      </c>
      <c r="BB10" s="2" t="s">
        <v>13</v>
      </c>
      <c r="BC10" s="2" t="s">
        <v>14</v>
      </c>
      <c r="BD10" s="2" t="s">
        <v>14</v>
      </c>
      <c r="BE10" s="2" t="s">
        <v>13</v>
      </c>
      <c r="BF10" s="2" t="s">
        <v>11</v>
      </c>
      <c r="BG10" s="2" t="s">
        <v>13</v>
      </c>
      <c r="BH10" s="2" t="s">
        <v>14</v>
      </c>
      <c r="BI10" s="2" t="s">
        <v>11</v>
      </c>
      <c r="BJ10" s="2" t="s">
        <v>14</v>
      </c>
      <c r="BK10" s="2" t="s">
        <v>11</v>
      </c>
      <c r="BL10" s="2" t="s">
        <v>13</v>
      </c>
      <c r="BM10" s="2" t="s">
        <v>14</v>
      </c>
      <c r="BN10" s="2" t="s">
        <v>11</v>
      </c>
      <c r="BO10" s="2" t="s">
        <v>13</v>
      </c>
      <c r="BP10" s="2" t="s">
        <v>14</v>
      </c>
      <c r="BQ10" s="2" t="s">
        <v>11</v>
      </c>
      <c r="BR10" s="2" t="s">
        <v>13</v>
      </c>
      <c r="BS10" s="2" t="s">
        <v>14</v>
      </c>
      <c r="BT10" s="2" t="s">
        <v>13</v>
      </c>
      <c r="BU10" s="2" t="s">
        <v>11</v>
      </c>
      <c r="BV10" s="2"/>
      <c r="BW10" s="2"/>
    </row>
    <row r="11" spans="1:75" x14ac:dyDescent="0.3">
      <c r="A11" s="1">
        <v>46145.364108796297</v>
      </c>
      <c r="B11" s="2" t="s">
        <v>17</v>
      </c>
      <c r="C11" s="2" t="s">
        <v>15</v>
      </c>
      <c r="D11" s="2" t="s">
        <v>11</v>
      </c>
      <c r="E11" s="2" t="s">
        <v>12</v>
      </c>
      <c r="F11" s="2" t="s">
        <v>13</v>
      </c>
      <c r="G11" s="2" t="s">
        <v>12</v>
      </c>
      <c r="H11" s="2" t="s">
        <v>13</v>
      </c>
      <c r="I11" s="2" t="s">
        <v>14</v>
      </c>
      <c r="J11" s="2" t="s">
        <v>12</v>
      </c>
      <c r="K11" s="2" t="s">
        <v>11</v>
      </c>
      <c r="L11" s="2" t="s">
        <v>14</v>
      </c>
      <c r="M11" s="2" t="s">
        <v>12</v>
      </c>
      <c r="N11" s="2" t="s">
        <v>11</v>
      </c>
      <c r="O11" s="2" t="s">
        <v>13</v>
      </c>
      <c r="P11" s="2" t="s">
        <v>11</v>
      </c>
      <c r="Q11" s="2" t="s">
        <v>14</v>
      </c>
      <c r="R11" s="2" t="s">
        <v>13</v>
      </c>
      <c r="S11" s="2" t="s">
        <v>12</v>
      </c>
      <c r="T11" s="2" t="s">
        <v>11</v>
      </c>
      <c r="U11" s="2" t="s">
        <v>12</v>
      </c>
      <c r="V11" s="2" t="s">
        <v>13</v>
      </c>
      <c r="W11" s="2" t="s">
        <v>14</v>
      </c>
      <c r="X11" s="2" t="s">
        <v>14</v>
      </c>
      <c r="Y11" s="2" t="s">
        <v>11</v>
      </c>
      <c r="Z11" s="2" t="s">
        <v>12</v>
      </c>
      <c r="AA11" s="2" t="s">
        <v>13</v>
      </c>
      <c r="AB11" s="2" t="s">
        <v>13</v>
      </c>
      <c r="AC11" s="2" t="s">
        <v>11</v>
      </c>
      <c r="AD11" s="2" t="s">
        <v>12</v>
      </c>
      <c r="AE11" s="2" t="s">
        <v>14</v>
      </c>
      <c r="AF11" s="2" t="s">
        <v>13</v>
      </c>
      <c r="AG11" s="2" t="s">
        <v>14</v>
      </c>
      <c r="AH11" s="2" t="s">
        <v>12</v>
      </c>
      <c r="AI11" s="2" t="s">
        <v>11</v>
      </c>
      <c r="AJ11" s="2" t="s">
        <v>11</v>
      </c>
      <c r="AK11" s="2" t="s">
        <v>13</v>
      </c>
      <c r="AL11" s="2" t="s">
        <v>14</v>
      </c>
      <c r="AM11" s="2" t="s">
        <v>12</v>
      </c>
      <c r="AN11" s="2" t="s">
        <v>12</v>
      </c>
      <c r="AO11" s="2" t="s">
        <v>11</v>
      </c>
      <c r="AP11" s="2" t="s">
        <v>13</v>
      </c>
      <c r="AQ11" s="2" t="s">
        <v>14</v>
      </c>
      <c r="AR11" s="2" t="s">
        <v>14</v>
      </c>
      <c r="AS11" s="2" t="s">
        <v>13</v>
      </c>
      <c r="AT11" s="2" t="s">
        <v>11</v>
      </c>
      <c r="AU11" s="2" t="s">
        <v>13</v>
      </c>
      <c r="AV11" s="2" t="s">
        <v>11</v>
      </c>
      <c r="AW11" s="2" t="s">
        <v>14</v>
      </c>
      <c r="AX11" s="2" t="s">
        <v>14</v>
      </c>
      <c r="AY11" s="2" t="s">
        <v>13</v>
      </c>
      <c r="AZ11" s="2" t="s">
        <v>11</v>
      </c>
      <c r="BA11" s="2" t="s">
        <v>11</v>
      </c>
      <c r="BB11" s="2" t="s">
        <v>13</v>
      </c>
      <c r="BC11" s="2" t="s">
        <v>14</v>
      </c>
      <c r="BD11" s="2" t="s">
        <v>14</v>
      </c>
      <c r="BE11" s="2" t="s">
        <v>11</v>
      </c>
      <c r="BF11" s="2" t="s">
        <v>13</v>
      </c>
      <c r="BG11" s="2" t="s">
        <v>11</v>
      </c>
      <c r="BH11" s="2" t="s">
        <v>14</v>
      </c>
      <c r="BI11" s="2" t="s">
        <v>13</v>
      </c>
      <c r="BJ11" s="2" t="s">
        <v>14</v>
      </c>
      <c r="BK11" s="2" t="s">
        <v>13</v>
      </c>
      <c r="BL11" s="2" t="s">
        <v>11</v>
      </c>
      <c r="BM11" s="2" t="s">
        <v>14</v>
      </c>
      <c r="BN11" s="2" t="s">
        <v>11</v>
      </c>
      <c r="BO11" s="2" t="s">
        <v>13</v>
      </c>
      <c r="BP11" s="2" t="s">
        <v>11</v>
      </c>
      <c r="BQ11" s="2" t="s">
        <v>13</v>
      </c>
      <c r="BR11" s="2" t="s">
        <v>14</v>
      </c>
      <c r="BS11" s="2" t="s">
        <v>13</v>
      </c>
      <c r="BT11" s="2" t="s">
        <v>11</v>
      </c>
      <c r="BU11" s="2" t="s">
        <v>14</v>
      </c>
      <c r="BV11" s="2"/>
      <c r="BW11" s="2"/>
    </row>
    <row r="12" spans="1:75" x14ac:dyDescent="0.3">
      <c r="A12" s="1">
        <v>46145.464004629626</v>
      </c>
      <c r="B12" s="2" t="s">
        <v>9</v>
      </c>
      <c r="C12" s="2" t="s">
        <v>15</v>
      </c>
      <c r="D12" s="2" t="s">
        <v>11</v>
      </c>
      <c r="E12" s="2" t="s">
        <v>13</v>
      </c>
      <c r="F12" s="2" t="s">
        <v>14</v>
      </c>
      <c r="G12" s="2" t="s">
        <v>12</v>
      </c>
      <c r="H12" s="2" t="s">
        <v>12</v>
      </c>
      <c r="I12" s="2" t="s">
        <v>14</v>
      </c>
      <c r="J12" s="2" t="s">
        <v>13</v>
      </c>
      <c r="K12" s="2" t="s">
        <v>11</v>
      </c>
      <c r="L12" s="2" t="s">
        <v>12</v>
      </c>
      <c r="M12" s="2" t="s">
        <v>14</v>
      </c>
      <c r="N12" s="2" t="s">
        <v>13</v>
      </c>
      <c r="O12" s="2" t="s">
        <v>11</v>
      </c>
      <c r="P12" s="2" t="s">
        <v>12</v>
      </c>
      <c r="Q12" s="2" t="s">
        <v>14</v>
      </c>
      <c r="R12" s="2" t="s">
        <v>13</v>
      </c>
      <c r="S12" s="2" t="s">
        <v>11</v>
      </c>
      <c r="T12" s="2" t="s">
        <v>11</v>
      </c>
      <c r="U12" s="2" t="s">
        <v>11</v>
      </c>
      <c r="V12" s="2" t="s">
        <v>11</v>
      </c>
      <c r="W12" s="2" t="s">
        <v>11</v>
      </c>
      <c r="X12" s="2" t="s">
        <v>11</v>
      </c>
      <c r="Y12" s="2" t="s">
        <v>13</v>
      </c>
      <c r="Z12" s="2" t="s">
        <v>14</v>
      </c>
      <c r="AA12" s="2" t="s">
        <v>12</v>
      </c>
      <c r="AB12" s="2" t="s">
        <v>11</v>
      </c>
      <c r="AC12" s="2" t="s">
        <v>13</v>
      </c>
      <c r="AD12" s="2" t="s">
        <v>14</v>
      </c>
      <c r="AE12" s="2" t="s">
        <v>12</v>
      </c>
      <c r="AF12" s="2" t="s">
        <v>12</v>
      </c>
      <c r="AG12" s="2" t="s">
        <v>14</v>
      </c>
      <c r="AH12" s="2" t="s">
        <v>13</v>
      </c>
      <c r="AI12" s="2" t="s">
        <v>11</v>
      </c>
      <c r="AJ12" s="2" t="s">
        <v>13</v>
      </c>
      <c r="AK12" s="2" t="s">
        <v>13</v>
      </c>
      <c r="AL12" s="2" t="s">
        <v>13</v>
      </c>
      <c r="AM12" s="2" t="s">
        <v>13</v>
      </c>
      <c r="AN12" s="2" t="s">
        <v>12</v>
      </c>
      <c r="AO12" s="2" t="s">
        <v>12</v>
      </c>
      <c r="AP12" s="2" t="s">
        <v>12</v>
      </c>
      <c r="AQ12" s="2" t="s">
        <v>12</v>
      </c>
      <c r="AR12" s="2" t="s">
        <v>13</v>
      </c>
      <c r="AS12" s="2" t="s">
        <v>13</v>
      </c>
      <c r="AT12" s="2" t="s">
        <v>13</v>
      </c>
      <c r="AU12" s="2" t="s">
        <v>11</v>
      </c>
      <c r="AV12" s="2" t="s">
        <v>14</v>
      </c>
      <c r="AW12" s="2" t="s">
        <v>13</v>
      </c>
      <c r="AX12" s="2" t="s">
        <v>14</v>
      </c>
      <c r="AY12" s="2" t="s">
        <v>11</v>
      </c>
      <c r="AZ12" s="2" t="s">
        <v>13</v>
      </c>
      <c r="BA12" s="2" t="s">
        <v>11</v>
      </c>
      <c r="BB12" s="2" t="s">
        <v>11</v>
      </c>
      <c r="BC12" s="2" t="s">
        <v>14</v>
      </c>
      <c r="BD12" s="2" t="s">
        <v>14</v>
      </c>
      <c r="BE12" s="2" t="s">
        <v>13</v>
      </c>
      <c r="BF12" s="2" t="s">
        <v>11</v>
      </c>
      <c r="BG12" s="2" t="s">
        <v>14</v>
      </c>
      <c r="BH12" s="2" t="s">
        <v>13</v>
      </c>
      <c r="BI12" s="2" t="s">
        <v>11</v>
      </c>
      <c r="BJ12" s="2" t="s">
        <v>13</v>
      </c>
      <c r="BK12" s="2" t="s">
        <v>14</v>
      </c>
      <c r="BL12" s="2" t="s">
        <v>11</v>
      </c>
      <c r="BM12" s="2" t="s">
        <v>14</v>
      </c>
      <c r="BN12" s="2" t="s">
        <v>14</v>
      </c>
      <c r="BO12" s="2" t="s">
        <v>14</v>
      </c>
      <c r="BP12" s="2" t="s">
        <v>13</v>
      </c>
      <c r="BQ12" s="2" t="s">
        <v>14</v>
      </c>
      <c r="BR12" s="2" t="s">
        <v>14</v>
      </c>
      <c r="BS12" s="2" t="s">
        <v>13</v>
      </c>
      <c r="BT12" s="2" t="s">
        <v>14</v>
      </c>
      <c r="BU12" s="2" t="s">
        <v>11</v>
      </c>
      <c r="BV12" s="2"/>
      <c r="BW12" s="2"/>
    </row>
    <row r="13" spans="1:75" x14ac:dyDescent="0.3">
      <c r="A13" s="1">
        <v>46145.527743055558</v>
      </c>
      <c r="B13" s="2" t="s">
        <v>9</v>
      </c>
      <c r="C13" s="2" t="s">
        <v>10</v>
      </c>
      <c r="D13" s="2" t="s">
        <v>11</v>
      </c>
      <c r="E13" s="2" t="s">
        <v>12</v>
      </c>
      <c r="F13" s="2" t="s">
        <v>14</v>
      </c>
      <c r="G13" s="2" t="s">
        <v>13</v>
      </c>
      <c r="H13" s="2" t="s">
        <v>13</v>
      </c>
      <c r="I13" s="2" t="s">
        <v>14</v>
      </c>
      <c r="J13" s="2" t="s">
        <v>12</v>
      </c>
      <c r="K13" s="2" t="s">
        <v>11</v>
      </c>
      <c r="L13" s="2" t="s">
        <v>14</v>
      </c>
      <c r="M13" s="2" t="s">
        <v>13</v>
      </c>
      <c r="N13" s="2" t="s">
        <v>12</v>
      </c>
      <c r="O13" s="2" t="s">
        <v>11</v>
      </c>
      <c r="P13" s="2" t="s">
        <v>11</v>
      </c>
      <c r="Q13" s="2" t="s">
        <v>12</v>
      </c>
      <c r="R13" s="2" t="s">
        <v>14</v>
      </c>
      <c r="S13" s="2" t="s">
        <v>13</v>
      </c>
      <c r="T13" s="2" t="s">
        <v>11</v>
      </c>
      <c r="U13" s="2" t="s">
        <v>12</v>
      </c>
      <c r="V13" s="2" t="s">
        <v>13</v>
      </c>
      <c r="W13" s="2" t="s">
        <v>14</v>
      </c>
      <c r="X13" s="2" t="s">
        <v>14</v>
      </c>
      <c r="Y13" s="2" t="s">
        <v>13</v>
      </c>
      <c r="Z13" s="2" t="s">
        <v>12</v>
      </c>
      <c r="AA13" s="2" t="s">
        <v>11</v>
      </c>
      <c r="AB13" s="2" t="s">
        <v>11</v>
      </c>
      <c r="AC13" s="2" t="s">
        <v>12</v>
      </c>
      <c r="AD13" s="2" t="s">
        <v>13</v>
      </c>
      <c r="AE13" s="2" t="s">
        <v>14</v>
      </c>
      <c r="AF13" s="2" t="s">
        <v>13</v>
      </c>
      <c r="AG13" s="2" t="s">
        <v>14</v>
      </c>
      <c r="AH13" s="2" t="s">
        <v>12</v>
      </c>
      <c r="AI13" s="2" t="s">
        <v>11</v>
      </c>
      <c r="AJ13" s="2" t="s">
        <v>11</v>
      </c>
      <c r="AK13" s="2" t="s">
        <v>12</v>
      </c>
      <c r="AL13" s="2" t="s">
        <v>14</v>
      </c>
      <c r="AM13" s="2" t="s">
        <v>13</v>
      </c>
      <c r="AN13" s="2" t="s">
        <v>12</v>
      </c>
      <c r="AO13" s="2" t="s">
        <v>14</v>
      </c>
      <c r="AP13" s="2" t="s">
        <v>13</v>
      </c>
      <c r="AQ13" s="2" t="s">
        <v>11</v>
      </c>
      <c r="AR13" s="2" t="s">
        <v>14</v>
      </c>
      <c r="AS13" s="2" t="s">
        <v>11</v>
      </c>
      <c r="AT13" s="2" t="s">
        <v>13</v>
      </c>
      <c r="AU13" s="2" t="s">
        <v>14</v>
      </c>
      <c r="AV13" s="2" t="s">
        <v>13</v>
      </c>
      <c r="AW13" s="2" t="s">
        <v>11</v>
      </c>
      <c r="AX13" s="2" t="s">
        <v>14</v>
      </c>
      <c r="AY13" s="2" t="s">
        <v>13</v>
      </c>
      <c r="AZ13" s="2" t="s">
        <v>11</v>
      </c>
      <c r="BA13" s="2" t="s">
        <v>13</v>
      </c>
      <c r="BB13" s="2" t="s">
        <v>14</v>
      </c>
      <c r="BC13" s="2" t="s">
        <v>11</v>
      </c>
      <c r="BD13" s="2" t="s">
        <v>14</v>
      </c>
      <c r="BE13" s="2" t="s">
        <v>11</v>
      </c>
      <c r="BF13" s="2" t="s">
        <v>13</v>
      </c>
      <c r="BG13" s="2" t="s">
        <v>11</v>
      </c>
      <c r="BH13" s="2" t="s">
        <v>14</v>
      </c>
      <c r="BI13" s="2" t="s">
        <v>13</v>
      </c>
      <c r="BJ13" s="2" t="s">
        <v>13</v>
      </c>
      <c r="BK13" s="2" t="s">
        <v>11</v>
      </c>
      <c r="BL13" s="2" t="s">
        <v>14</v>
      </c>
      <c r="BM13" s="2" t="s">
        <v>14</v>
      </c>
      <c r="BN13" s="2" t="s">
        <v>11</v>
      </c>
      <c r="BO13" s="2" t="s">
        <v>13</v>
      </c>
      <c r="BP13" s="2" t="s">
        <v>11</v>
      </c>
      <c r="BQ13" s="2" t="s">
        <v>13</v>
      </c>
      <c r="BR13" s="2" t="s">
        <v>14</v>
      </c>
      <c r="BS13" s="2" t="s">
        <v>13</v>
      </c>
      <c r="BT13" s="2" t="s">
        <v>11</v>
      </c>
      <c r="BU13" s="2" t="s">
        <v>14</v>
      </c>
      <c r="BV13" s="2"/>
      <c r="BW13" s="2"/>
    </row>
    <row r="14" spans="1:75" x14ac:dyDescent="0.3">
      <c r="A14" s="1">
        <v>46145.891736111109</v>
      </c>
      <c r="B14" s="2" t="s">
        <v>9</v>
      </c>
      <c r="C14" s="2" t="s">
        <v>15</v>
      </c>
      <c r="D14" s="2" t="s">
        <v>13</v>
      </c>
      <c r="E14" s="2" t="s">
        <v>11</v>
      </c>
      <c r="F14" s="2" t="s">
        <v>14</v>
      </c>
      <c r="G14" s="2" t="s">
        <v>12</v>
      </c>
      <c r="H14" s="2" t="s">
        <v>11</v>
      </c>
      <c r="I14" s="2" t="s">
        <v>12</v>
      </c>
      <c r="J14" s="2" t="s">
        <v>14</v>
      </c>
      <c r="K14" s="2" t="s">
        <v>13</v>
      </c>
      <c r="L14" s="2" t="s">
        <v>13</v>
      </c>
      <c r="M14" s="2" t="s">
        <v>14</v>
      </c>
      <c r="N14" s="2" t="s">
        <v>12</v>
      </c>
      <c r="O14" s="2" t="s">
        <v>11</v>
      </c>
      <c r="P14" s="2" t="s">
        <v>11</v>
      </c>
      <c r="Q14" s="2" t="s">
        <v>12</v>
      </c>
      <c r="R14" s="2" t="s">
        <v>13</v>
      </c>
      <c r="S14" s="2" t="s">
        <v>14</v>
      </c>
      <c r="T14" s="2" t="s">
        <v>11</v>
      </c>
      <c r="U14" s="2" t="s">
        <v>12</v>
      </c>
      <c r="V14" s="2" t="s">
        <v>13</v>
      </c>
      <c r="W14" s="2" t="s">
        <v>14</v>
      </c>
      <c r="X14" s="2" t="s">
        <v>11</v>
      </c>
      <c r="Y14" s="2" t="s">
        <v>12</v>
      </c>
      <c r="Z14" s="2" t="s">
        <v>13</v>
      </c>
      <c r="AA14" s="2" t="s">
        <v>14</v>
      </c>
      <c r="AB14" s="2" t="s">
        <v>13</v>
      </c>
      <c r="AC14" s="2" t="s">
        <v>11</v>
      </c>
      <c r="AD14" s="2" t="s">
        <v>14</v>
      </c>
      <c r="AE14" s="2" t="s">
        <v>12</v>
      </c>
      <c r="AF14" s="2" t="s">
        <v>14</v>
      </c>
      <c r="AG14" s="2" t="s">
        <v>13</v>
      </c>
      <c r="AH14" s="2" t="s">
        <v>11</v>
      </c>
      <c r="AI14" s="2" t="s">
        <v>12</v>
      </c>
      <c r="AJ14" s="2" t="s">
        <v>11</v>
      </c>
      <c r="AK14" s="2" t="s">
        <v>14</v>
      </c>
      <c r="AL14" s="2" t="s">
        <v>13</v>
      </c>
      <c r="AM14" s="2" t="s">
        <v>12</v>
      </c>
      <c r="AN14" s="2" t="s">
        <v>12</v>
      </c>
      <c r="AO14" s="2" t="s">
        <v>14</v>
      </c>
      <c r="AP14" s="2" t="s">
        <v>13</v>
      </c>
      <c r="AQ14" s="2" t="s">
        <v>11</v>
      </c>
      <c r="AR14" s="2" t="s">
        <v>13</v>
      </c>
      <c r="AS14" s="2" t="s">
        <v>11</v>
      </c>
      <c r="AT14" s="2" t="s">
        <v>14</v>
      </c>
      <c r="AU14" s="2" t="s">
        <v>13</v>
      </c>
      <c r="AV14" s="2" t="s">
        <v>14</v>
      </c>
      <c r="AW14" s="2" t="s">
        <v>11</v>
      </c>
      <c r="AX14" s="2" t="s">
        <v>13</v>
      </c>
      <c r="AY14" s="2" t="s">
        <v>11</v>
      </c>
      <c r="AZ14" s="2" t="s">
        <v>14</v>
      </c>
      <c r="BA14" s="2" t="s">
        <v>13</v>
      </c>
      <c r="BB14" s="2" t="s">
        <v>11</v>
      </c>
      <c r="BC14" s="2" t="s">
        <v>14</v>
      </c>
      <c r="BD14" s="2" t="s">
        <v>14</v>
      </c>
      <c r="BE14" s="2" t="s">
        <v>13</v>
      </c>
      <c r="BF14" s="2" t="s">
        <v>11</v>
      </c>
      <c r="BG14" s="2" t="s">
        <v>13</v>
      </c>
      <c r="BH14" s="2" t="s">
        <v>14</v>
      </c>
      <c r="BI14" s="2" t="s">
        <v>11</v>
      </c>
      <c r="BJ14" s="2" t="s">
        <v>14</v>
      </c>
      <c r="BK14" s="2" t="s">
        <v>11</v>
      </c>
      <c r="BL14" s="2" t="s">
        <v>13</v>
      </c>
      <c r="BM14" s="2" t="s">
        <v>14</v>
      </c>
      <c r="BN14" s="2" t="s">
        <v>11</v>
      </c>
      <c r="BO14" s="2" t="s">
        <v>13</v>
      </c>
      <c r="BP14" s="2" t="s">
        <v>14</v>
      </c>
      <c r="BQ14" s="2" t="s">
        <v>13</v>
      </c>
      <c r="BR14" s="2" t="s">
        <v>11</v>
      </c>
      <c r="BS14" s="2" t="s">
        <v>11</v>
      </c>
      <c r="BT14" s="2" t="s">
        <v>13</v>
      </c>
      <c r="BU14" s="2" t="s">
        <v>14</v>
      </c>
      <c r="BV14" s="2"/>
      <c r="BW14" s="2"/>
    </row>
    <row r="15" spans="1:75" x14ac:dyDescent="0.3">
      <c r="A15" s="1">
        <v>46145.89329861111</v>
      </c>
      <c r="B15" s="2" t="s">
        <v>9</v>
      </c>
      <c r="C15" s="2" t="s">
        <v>10</v>
      </c>
      <c r="D15" s="2" t="s">
        <v>11</v>
      </c>
      <c r="E15" s="2" t="s">
        <v>12</v>
      </c>
      <c r="F15" s="2" t="s">
        <v>14</v>
      </c>
      <c r="G15" s="2" t="s">
        <v>13</v>
      </c>
      <c r="H15" s="2" t="s">
        <v>11</v>
      </c>
      <c r="I15" s="2" t="s">
        <v>12</v>
      </c>
      <c r="J15" s="2" t="s">
        <v>14</v>
      </c>
      <c r="K15" s="2" t="s">
        <v>13</v>
      </c>
      <c r="L15" s="2" t="s">
        <v>14</v>
      </c>
      <c r="M15" s="2" t="s">
        <v>13</v>
      </c>
      <c r="N15" s="2" t="s">
        <v>12</v>
      </c>
      <c r="O15" s="2" t="s">
        <v>11</v>
      </c>
      <c r="P15" s="2" t="s">
        <v>11</v>
      </c>
      <c r="Q15" s="2" t="s">
        <v>12</v>
      </c>
      <c r="R15" s="2" t="s">
        <v>14</v>
      </c>
      <c r="S15" s="2" t="s">
        <v>13</v>
      </c>
      <c r="T15" s="2" t="s">
        <v>11</v>
      </c>
      <c r="U15" s="2" t="s">
        <v>12</v>
      </c>
      <c r="V15" s="2" t="s">
        <v>13</v>
      </c>
      <c r="W15" s="2" t="s">
        <v>14</v>
      </c>
      <c r="X15" s="2" t="s">
        <v>14</v>
      </c>
      <c r="Y15" s="2" t="s">
        <v>13</v>
      </c>
      <c r="Z15" s="2" t="s">
        <v>12</v>
      </c>
      <c r="AA15" s="2" t="s">
        <v>11</v>
      </c>
      <c r="AB15" s="2" t="s">
        <v>13</v>
      </c>
      <c r="AC15" s="2" t="s">
        <v>12</v>
      </c>
      <c r="AD15" s="2" t="s">
        <v>14</v>
      </c>
      <c r="AE15" s="2" t="s">
        <v>11</v>
      </c>
      <c r="AF15" s="2" t="s">
        <v>14</v>
      </c>
      <c r="AG15" s="2" t="s">
        <v>13</v>
      </c>
      <c r="AH15" s="2" t="s">
        <v>12</v>
      </c>
      <c r="AI15" s="2" t="s">
        <v>11</v>
      </c>
      <c r="AJ15" s="2" t="s">
        <v>11</v>
      </c>
      <c r="AK15" s="2" t="s">
        <v>12</v>
      </c>
      <c r="AL15" s="2" t="s">
        <v>14</v>
      </c>
      <c r="AM15" s="2" t="s">
        <v>13</v>
      </c>
      <c r="AN15" s="2" t="s">
        <v>12</v>
      </c>
      <c r="AO15" s="2" t="s">
        <v>14</v>
      </c>
      <c r="AP15" s="2" t="s">
        <v>13</v>
      </c>
      <c r="AQ15" s="2" t="s">
        <v>11</v>
      </c>
      <c r="AR15" s="2" t="s">
        <v>13</v>
      </c>
      <c r="AS15" s="2" t="s">
        <v>11</v>
      </c>
      <c r="AT15" s="2" t="s">
        <v>14</v>
      </c>
      <c r="AU15" s="2" t="s">
        <v>13</v>
      </c>
      <c r="AV15" s="2" t="s">
        <v>14</v>
      </c>
      <c r="AW15" s="2" t="s">
        <v>11</v>
      </c>
      <c r="AX15" s="2" t="s">
        <v>14</v>
      </c>
      <c r="AY15" s="2" t="s">
        <v>11</v>
      </c>
      <c r="AZ15" s="2" t="s">
        <v>13</v>
      </c>
      <c r="BA15" s="2" t="s">
        <v>11</v>
      </c>
      <c r="BB15" s="2" t="s">
        <v>13</v>
      </c>
      <c r="BC15" s="2" t="s">
        <v>14</v>
      </c>
      <c r="BD15" s="2" t="s">
        <v>14</v>
      </c>
      <c r="BE15" s="2" t="s">
        <v>11</v>
      </c>
      <c r="BF15" s="2" t="s">
        <v>13</v>
      </c>
      <c r="BG15" s="2" t="s">
        <v>11</v>
      </c>
      <c r="BH15" s="2" t="s">
        <v>14</v>
      </c>
      <c r="BI15" s="2" t="s">
        <v>13</v>
      </c>
      <c r="BJ15" s="2" t="s">
        <v>14</v>
      </c>
      <c r="BK15" s="2" t="s">
        <v>11</v>
      </c>
      <c r="BL15" s="2" t="s">
        <v>13</v>
      </c>
      <c r="BM15" s="2" t="s">
        <v>14</v>
      </c>
      <c r="BN15" s="2" t="s">
        <v>11</v>
      </c>
      <c r="BO15" s="2" t="s">
        <v>13</v>
      </c>
      <c r="BP15" s="2" t="s">
        <v>11</v>
      </c>
      <c r="BQ15" s="2" t="s">
        <v>13</v>
      </c>
      <c r="BR15" s="2" t="s">
        <v>14</v>
      </c>
      <c r="BS15" s="2" t="s">
        <v>11</v>
      </c>
      <c r="BT15" s="2" t="s">
        <v>13</v>
      </c>
      <c r="BU15" s="2" t="s">
        <v>14</v>
      </c>
      <c r="BV15" s="2"/>
      <c r="BW15" s="2"/>
    </row>
    <row r="16" spans="1:75" x14ac:dyDescent="0.3">
      <c r="A16" s="1">
        <v>46145.89634259259</v>
      </c>
      <c r="B16" s="2" t="s">
        <v>9</v>
      </c>
      <c r="C16" s="2" t="s">
        <v>15</v>
      </c>
      <c r="D16" s="2" t="s">
        <v>14</v>
      </c>
      <c r="E16" s="2" t="s">
        <v>12</v>
      </c>
      <c r="F16" s="2" t="s">
        <v>12</v>
      </c>
      <c r="G16" s="2" t="s">
        <v>12</v>
      </c>
      <c r="H16" s="2" t="s">
        <v>13</v>
      </c>
      <c r="I16" s="2" t="s">
        <v>14</v>
      </c>
      <c r="J16" s="2" t="s">
        <v>14</v>
      </c>
      <c r="K16" s="2" t="s">
        <v>13</v>
      </c>
      <c r="L16" s="2" t="s">
        <v>14</v>
      </c>
      <c r="M16" s="2" t="s">
        <v>13</v>
      </c>
      <c r="N16" s="2" t="s">
        <v>13</v>
      </c>
      <c r="O16" s="2" t="s">
        <v>14</v>
      </c>
      <c r="P16" s="2" t="s">
        <v>11</v>
      </c>
      <c r="Q16" s="2" t="s">
        <v>12</v>
      </c>
      <c r="R16" s="2" t="s">
        <v>13</v>
      </c>
      <c r="S16" s="2" t="s">
        <v>12</v>
      </c>
      <c r="T16" s="2" t="s">
        <v>11</v>
      </c>
      <c r="U16" s="2" t="s">
        <v>12</v>
      </c>
      <c r="V16" s="2" t="s">
        <v>11</v>
      </c>
      <c r="W16" s="2" t="s">
        <v>12</v>
      </c>
      <c r="X16" s="2" t="s">
        <v>14</v>
      </c>
      <c r="Y16" s="2" t="s">
        <v>13</v>
      </c>
      <c r="Z16" s="2" t="s">
        <v>12</v>
      </c>
      <c r="AA16" s="2" t="s">
        <v>13</v>
      </c>
      <c r="AB16" s="2" t="s">
        <v>13</v>
      </c>
      <c r="AC16" s="2" t="s">
        <v>12</v>
      </c>
      <c r="AD16" s="2" t="s">
        <v>13</v>
      </c>
      <c r="AE16" s="2" t="s">
        <v>12</v>
      </c>
      <c r="AF16" s="2" t="s">
        <v>14</v>
      </c>
      <c r="AG16" s="2" t="s">
        <v>13</v>
      </c>
      <c r="AH16" s="2" t="s">
        <v>14</v>
      </c>
      <c r="AI16" s="2" t="s">
        <v>13</v>
      </c>
      <c r="AJ16" s="2" t="s">
        <v>13</v>
      </c>
      <c r="AK16" s="2" t="s">
        <v>13</v>
      </c>
      <c r="AL16" s="2" t="s">
        <v>14</v>
      </c>
      <c r="AM16" s="2" t="s">
        <v>14</v>
      </c>
      <c r="AN16" s="2" t="s">
        <v>13</v>
      </c>
      <c r="AO16" s="2" t="s">
        <v>13</v>
      </c>
      <c r="AP16" s="2" t="s">
        <v>14</v>
      </c>
      <c r="AQ16" s="2" t="s">
        <v>12</v>
      </c>
      <c r="AR16" s="2" t="s">
        <v>13</v>
      </c>
      <c r="AS16" s="2" t="s">
        <v>13</v>
      </c>
      <c r="AT16" s="2" t="s">
        <v>11</v>
      </c>
      <c r="AU16" s="2" t="s">
        <v>14</v>
      </c>
      <c r="AV16" s="2" t="s">
        <v>14</v>
      </c>
      <c r="AW16" s="2" t="s">
        <v>13</v>
      </c>
      <c r="AX16" s="2" t="s">
        <v>13</v>
      </c>
      <c r="AY16" s="2" t="s">
        <v>11</v>
      </c>
      <c r="AZ16" s="2" t="s">
        <v>13</v>
      </c>
      <c r="BA16" s="2" t="s">
        <v>11</v>
      </c>
      <c r="BB16" s="2" t="s">
        <v>11</v>
      </c>
      <c r="BC16" s="2" t="s">
        <v>13</v>
      </c>
      <c r="BD16" s="2" t="s">
        <v>14</v>
      </c>
      <c r="BE16" s="2" t="s">
        <v>14</v>
      </c>
      <c r="BF16" s="2" t="s">
        <v>14</v>
      </c>
      <c r="BG16" s="2" t="s">
        <v>14</v>
      </c>
      <c r="BH16" s="2" t="s">
        <v>14</v>
      </c>
      <c r="BI16" s="2" t="s">
        <v>14</v>
      </c>
      <c r="BJ16" s="2" t="s">
        <v>13</v>
      </c>
      <c r="BK16" s="2" t="s">
        <v>13</v>
      </c>
      <c r="BL16" s="2" t="s">
        <v>14</v>
      </c>
      <c r="BM16" s="2" t="s">
        <v>14</v>
      </c>
      <c r="BN16" s="2" t="s">
        <v>11</v>
      </c>
      <c r="BO16" s="2" t="s">
        <v>14</v>
      </c>
      <c r="BP16" s="2" t="s">
        <v>11</v>
      </c>
      <c r="BQ16" s="2" t="s">
        <v>14</v>
      </c>
      <c r="BR16" s="2" t="s">
        <v>14</v>
      </c>
      <c r="BS16" s="2" t="s">
        <v>13</v>
      </c>
      <c r="BT16" s="2" t="s">
        <v>11</v>
      </c>
      <c r="BU16" s="2" t="s">
        <v>13</v>
      </c>
      <c r="BV16" s="2"/>
      <c r="BW16" s="2"/>
    </row>
    <row r="17" spans="1:75" x14ac:dyDescent="0.3">
      <c r="A17" s="1">
        <v>46145.919895833336</v>
      </c>
      <c r="B17" s="2" t="s">
        <v>9</v>
      </c>
      <c r="C17" s="2" t="s">
        <v>15</v>
      </c>
      <c r="D17" s="2" t="s">
        <v>11</v>
      </c>
      <c r="E17" s="2" t="s">
        <v>14</v>
      </c>
      <c r="F17" s="2" t="s">
        <v>12</v>
      </c>
      <c r="G17" s="2" t="s">
        <v>13</v>
      </c>
      <c r="H17" s="2" t="s">
        <v>12</v>
      </c>
      <c r="I17" s="2" t="s">
        <v>11</v>
      </c>
      <c r="J17" s="2" t="s">
        <v>13</v>
      </c>
      <c r="K17" s="2" t="s">
        <v>14</v>
      </c>
      <c r="L17" s="2" t="s">
        <v>11</v>
      </c>
      <c r="M17" s="2" t="s">
        <v>12</v>
      </c>
      <c r="N17" s="2" t="s">
        <v>14</v>
      </c>
      <c r="O17" s="2" t="s">
        <v>13</v>
      </c>
      <c r="P17" s="2" t="s">
        <v>11</v>
      </c>
      <c r="Q17" s="2" t="s">
        <v>14</v>
      </c>
      <c r="R17" s="2" t="s">
        <v>12</v>
      </c>
      <c r="S17" s="2" t="s">
        <v>13</v>
      </c>
      <c r="T17" s="2" t="s">
        <v>11</v>
      </c>
      <c r="U17" s="2" t="s">
        <v>14</v>
      </c>
      <c r="V17" s="2" t="s">
        <v>12</v>
      </c>
      <c r="W17" s="2" t="s">
        <v>13</v>
      </c>
      <c r="X17" s="2" t="s">
        <v>12</v>
      </c>
      <c r="Y17" s="2" t="s">
        <v>13</v>
      </c>
      <c r="Z17" s="2" t="s">
        <v>11</v>
      </c>
      <c r="AA17" s="2" t="s">
        <v>14</v>
      </c>
      <c r="AB17" s="2" t="s">
        <v>11</v>
      </c>
      <c r="AC17" s="2" t="s">
        <v>14</v>
      </c>
      <c r="AD17" s="2" t="s">
        <v>13</v>
      </c>
      <c r="AE17" s="2" t="s">
        <v>12</v>
      </c>
      <c r="AF17" s="2" t="s">
        <v>12</v>
      </c>
      <c r="AG17" s="2" t="s">
        <v>13</v>
      </c>
      <c r="AH17" s="2" t="s">
        <v>11</v>
      </c>
      <c r="AI17" s="2" t="s">
        <v>14</v>
      </c>
      <c r="AJ17" s="2" t="s">
        <v>12</v>
      </c>
      <c r="AK17" s="2" t="s">
        <v>11</v>
      </c>
      <c r="AL17" s="2" t="s">
        <v>14</v>
      </c>
      <c r="AM17" s="2" t="s">
        <v>13</v>
      </c>
      <c r="AN17" s="2" t="s">
        <v>13</v>
      </c>
      <c r="AO17" s="2" t="s">
        <v>12</v>
      </c>
      <c r="AP17" s="2" t="s">
        <v>14</v>
      </c>
      <c r="AQ17" s="2" t="s">
        <v>11</v>
      </c>
      <c r="AR17" s="2" t="s">
        <v>13</v>
      </c>
      <c r="AS17" s="2" t="s">
        <v>14</v>
      </c>
      <c r="AT17" s="2" t="s">
        <v>11</v>
      </c>
      <c r="AU17" s="2" t="s">
        <v>14</v>
      </c>
      <c r="AV17" s="2" t="s">
        <v>13</v>
      </c>
      <c r="AW17" s="2" t="s">
        <v>11</v>
      </c>
      <c r="AX17" s="2" t="s">
        <v>13</v>
      </c>
      <c r="AY17" s="2" t="s">
        <v>14</v>
      </c>
      <c r="AZ17" s="2" t="s">
        <v>11</v>
      </c>
      <c r="BA17" s="2" t="s">
        <v>11</v>
      </c>
      <c r="BB17" s="2" t="s">
        <v>13</v>
      </c>
      <c r="BC17" s="2" t="s">
        <v>14</v>
      </c>
      <c r="BD17" s="2" t="s">
        <v>13</v>
      </c>
      <c r="BE17" s="2" t="s">
        <v>14</v>
      </c>
      <c r="BF17" s="2" t="s">
        <v>11</v>
      </c>
      <c r="BG17" s="2" t="s">
        <v>11</v>
      </c>
      <c r="BH17" s="2" t="s">
        <v>14</v>
      </c>
      <c r="BI17" s="2" t="s">
        <v>13</v>
      </c>
      <c r="BJ17" s="2" t="s">
        <v>13</v>
      </c>
      <c r="BK17" s="2" t="s">
        <v>11</v>
      </c>
      <c r="BL17" s="2" t="s">
        <v>14</v>
      </c>
      <c r="BM17" s="2" t="s">
        <v>13</v>
      </c>
      <c r="BN17" s="2" t="s">
        <v>14</v>
      </c>
      <c r="BO17" s="2" t="s">
        <v>11</v>
      </c>
      <c r="BP17" s="2" t="s">
        <v>11</v>
      </c>
      <c r="BQ17" s="2" t="s">
        <v>13</v>
      </c>
      <c r="BR17" s="2" t="s">
        <v>14</v>
      </c>
      <c r="BS17" s="2" t="s">
        <v>13</v>
      </c>
      <c r="BT17" s="2" t="s">
        <v>14</v>
      </c>
      <c r="BU17" s="2" t="s">
        <v>11</v>
      </c>
      <c r="BV17" s="2" t="s">
        <v>18</v>
      </c>
      <c r="BW17" s="2"/>
    </row>
    <row r="18" spans="1:75" x14ac:dyDescent="0.3">
      <c r="A18" s="1">
        <v>46145.920891203707</v>
      </c>
      <c r="B18" s="2" t="s">
        <v>9</v>
      </c>
      <c r="C18" s="2" t="s">
        <v>15</v>
      </c>
      <c r="D18" s="2" t="s">
        <v>14</v>
      </c>
      <c r="E18" s="2" t="s">
        <v>12</v>
      </c>
      <c r="F18" s="2" t="s">
        <v>13</v>
      </c>
      <c r="G18" s="2" t="s">
        <v>11</v>
      </c>
      <c r="H18" s="2" t="s">
        <v>11</v>
      </c>
      <c r="I18" s="2" t="s">
        <v>14</v>
      </c>
      <c r="J18" s="2" t="s">
        <v>12</v>
      </c>
      <c r="K18" s="2" t="s">
        <v>13</v>
      </c>
      <c r="L18" s="2" t="s">
        <v>11</v>
      </c>
      <c r="M18" s="2" t="s">
        <v>12</v>
      </c>
      <c r="N18" s="2" t="s">
        <v>13</v>
      </c>
      <c r="O18" s="2" t="s">
        <v>14</v>
      </c>
      <c r="P18" s="2" t="s">
        <v>11</v>
      </c>
      <c r="Q18" s="2" t="s">
        <v>12</v>
      </c>
      <c r="R18" s="2" t="s">
        <v>13</v>
      </c>
      <c r="S18" s="2" t="s">
        <v>14</v>
      </c>
      <c r="T18" s="2" t="s">
        <v>11</v>
      </c>
      <c r="U18" s="2" t="s">
        <v>12</v>
      </c>
      <c r="V18" s="2" t="s">
        <v>13</v>
      </c>
      <c r="W18" s="2" t="s">
        <v>14</v>
      </c>
      <c r="X18" s="2" t="s">
        <v>14</v>
      </c>
      <c r="Y18" s="2" t="s">
        <v>13</v>
      </c>
      <c r="Z18" s="2" t="s">
        <v>12</v>
      </c>
      <c r="AA18" s="2" t="s">
        <v>11</v>
      </c>
      <c r="AB18" s="2" t="s">
        <v>11</v>
      </c>
      <c r="AC18" s="2" t="s">
        <v>12</v>
      </c>
      <c r="AD18" s="2" t="s">
        <v>13</v>
      </c>
      <c r="AE18" s="2" t="s">
        <v>14</v>
      </c>
      <c r="AF18" s="2" t="s">
        <v>14</v>
      </c>
      <c r="AG18" s="2" t="s">
        <v>13</v>
      </c>
      <c r="AH18" s="2" t="s">
        <v>12</v>
      </c>
      <c r="AI18" s="2" t="s">
        <v>11</v>
      </c>
      <c r="AJ18" s="2" t="s">
        <v>12</v>
      </c>
      <c r="AK18" s="2" t="s">
        <v>11</v>
      </c>
      <c r="AL18" s="2" t="s">
        <v>13</v>
      </c>
      <c r="AM18" s="2" t="s">
        <v>14</v>
      </c>
      <c r="AN18" s="2" t="s">
        <v>12</v>
      </c>
      <c r="AO18" s="2" t="s">
        <v>13</v>
      </c>
      <c r="AP18" s="2" t="s">
        <v>11</v>
      </c>
      <c r="AQ18" s="2" t="s">
        <v>14</v>
      </c>
      <c r="AR18" s="2" t="s">
        <v>14</v>
      </c>
      <c r="AS18" s="2" t="s">
        <v>13</v>
      </c>
      <c r="AT18" s="2" t="s">
        <v>11</v>
      </c>
      <c r="AU18" s="2" t="s">
        <v>11</v>
      </c>
      <c r="AV18" s="2" t="s">
        <v>13</v>
      </c>
      <c r="AW18" s="2" t="s">
        <v>14</v>
      </c>
      <c r="AX18" s="2" t="s">
        <v>14</v>
      </c>
      <c r="AY18" s="2" t="s">
        <v>11</v>
      </c>
      <c r="AZ18" s="2" t="s">
        <v>13</v>
      </c>
      <c r="BA18" s="2" t="s">
        <v>11</v>
      </c>
      <c r="BB18" s="2" t="s">
        <v>13</v>
      </c>
      <c r="BC18" s="2" t="s">
        <v>14</v>
      </c>
      <c r="BD18" s="2" t="s">
        <v>13</v>
      </c>
      <c r="BE18" s="2" t="s">
        <v>11</v>
      </c>
      <c r="BF18" s="2" t="s">
        <v>14</v>
      </c>
      <c r="BG18" s="2" t="s">
        <v>11</v>
      </c>
      <c r="BH18" s="2" t="s">
        <v>14</v>
      </c>
      <c r="BI18" s="2" t="s">
        <v>13</v>
      </c>
      <c r="BJ18" s="2" t="s">
        <v>14</v>
      </c>
      <c r="BK18" s="2" t="s">
        <v>11</v>
      </c>
      <c r="BL18" s="2" t="s">
        <v>13</v>
      </c>
      <c r="BM18" s="2" t="s">
        <v>14</v>
      </c>
      <c r="BN18" s="2" t="s">
        <v>11</v>
      </c>
      <c r="BO18" s="2" t="s">
        <v>13</v>
      </c>
      <c r="BP18" s="2" t="s">
        <v>11</v>
      </c>
      <c r="BQ18" s="2" t="s">
        <v>13</v>
      </c>
      <c r="BR18" s="2" t="s">
        <v>14</v>
      </c>
      <c r="BS18" s="2" t="s">
        <v>11</v>
      </c>
      <c r="BT18" s="2" t="s">
        <v>13</v>
      </c>
      <c r="BU18" s="2" t="s">
        <v>14</v>
      </c>
      <c r="BV18" s="2" t="s">
        <v>19</v>
      </c>
      <c r="BW18" s="2"/>
    </row>
    <row r="19" spans="1:75" x14ac:dyDescent="0.3">
      <c r="A19" s="1">
        <v>46145.960081018522</v>
      </c>
      <c r="B19" s="2" t="s">
        <v>9</v>
      </c>
      <c r="C19" s="2" t="s">
        <v>10</v>
      </c>
      <c r="D19" s="2" t="s">
        <v>13</v>
      </c>
      <c r="E19" s="2" t="s">
        <v>14</v>
      </c>
      <c r="F19" s="2" t="s">
        <v>12</v>
      </c>
      <c r="G19" s="2" t="s">
        <v>13</v>
      </c>
      <c r="H19" s="2" t="s">
        <v>13</v>
      </c>
      <c r="I19" s="2" t="s">
        <v>14</v>
      </c>
      <c r="J19" s="2" t="s">
        <v>11</v>
      </c>
      <c r="K19" s="2" t="s">
        <v>13</v>
      </c>
      <c r="L19" s="2" t="s">
        <v>11</v>
      </c>
      <c r="M19" s="2" t="s">
        <v>11</v>
      </c>
      <c r="N19" s="2" t="s">
        <v>14</v>
      </c>
      <c r="O19" s="2" t="s">
        <v>13</v>
      </c>
      <c r="P19" s="2" t="s">
        <v>13</v>
      </c>
      <c r="Q19" s="2" t="s">
        <v>14</v>
      </c>
      <c r="R19" s="2" t="s">
        <v>14</v>
      </c>
      <c r="S19" s="2" t="s">
        <v>11</v>
      </c>
      <c r="T19" s="2" t="s">
        <v>11</v>
      </c>
      <c r="U19" s="2" t="s">
        <v>14</v>
      </c>
      <c r="V19" s="2" t="s">
        <v>13</v>
      </c>
      <c r="W19" s="2" t="s">
        <v>14</v>
      </c>
      <c r="X19" s="2" t="s">
        <v>14</v>
      </c>
      <c r="Y19" s="2" t="s">
        <v>11</v>
      </c>
      <c r="Z19" s="2" t="s">
        <v>13</v>
      </c>
      <c r="AA19" s="2" t="s">
        <v>14</v>
      </c>
      <c r="AB19" s="2" t="s">
        <v>13</v>
      </c>
      <c r="AC19" s="2" t="s">
        <v>14</v>
      </c>
      <c r="AD19" s="2" t="s">
        <v>11</v>
      </c>
      <c r="AE19" s="2" t="s">
        <v>12</v>
      </c>
      <c r="AF19" s="2" t="s">
        <v>12</v>
      </c>
      <c r="AG19" s="2" t="s">
        <v>14</v>
      </c>
      <c r="AH19" s="2" t="s">
        <v>12</v>
      </c>
      <c r="AI19" s="2" t="s">
        <v>12</v>
      </c>
      <c r="AJ19" s="2" t="s">
        <v>13</v>
      </c>
      <c r="AK19" s="2" t="s">
        <v>12</v>
      </c>
      <c r="AL19" s="2" t="s">
        <v>13</v>
      </c>
      <c r="AM19" s="2" t="s">
        <v>14</v>
      </c>
      <c r="AN19" s="2" t="s">
        <v>12</v>
      </c>
      <c r="AO19" s="2" t="s">
        <v>13</v>
      </c>
      <c r="AP19" s="2" t="s">
        <v>13</v>
      </c>
      <c r="AQ19" s="2" t="s">
        <v>14</v>
      </c>
      <c r="AR19" s="2" t="s">
        <v>14</v>
      </c>
      <c r="AS19" s="2" t="s">
        <v>13</v>
      </c>
      <c r="AT19" s="2" t="s">
        <v>13</v>
      </c>
      <c r="AU19" s="2" t="s">
        <v>13</v>
      </c>
      <c r="AV19" s="2" t="s">
        <v>13</v>
      </c>
      <c r="AW19" s="2" t="s">
        <v>11</v>
      </c>
      <c r="AX19" s="2" t="s">
        <v>11</v>
      </c>
      <c r="AY19" s="2" t="s">
        <v>11</v>
      </c>
      <c r="AZ19" s="2" t="s">
        <v>11</v>
      </c>
      <c r="BA19" s="2" t="s">
        <v>11</v>
      </c>
      <c r="BB19" s="2" t="s">
        <v>11</v>
      </c>
      <c r="BC19" s="2" t="s">
        <v>11</v>
      </c>
      <c r="BD19" s="2" t="s">
        <v>13</v>
      </c>
      <c r="BE19" s="2" t="s">
        <v>11</v>
      </c>
      <c r="BF19" s="2" t="s">
        <v>13</v>
      </c>
      <c r="BG19" s="2" t="s">
        <v>14</v>
      </c>
      <c r="BH19" s="2" t="s">
        <v>14</v>
      </c>
      <c r="BI19" s="2" t="s">
        <v>11</v>
      </c>
      <c r="BJ19" s="2" t="s">
        <v>14</v>
      </c>
      <c r="BK19" s="2" t="s">
        <v>11</v>
      </c>
      <c r="BL19" s="2" t="s">
        <v>13</v>
      </c>
      <c r="BM19" s="2" t="s">
        <v>13</v>
      </c>
      <c r="BN19" s="2" t="s">
        <v>13</v>
      </c>
      <c r="BO19" s="2" t="s">
        <v>11</v>
      </c>
      <c r="BP19" s="2" t="s">
        <v>13</v>
      </c>
      <c r="BQ19" s="2" t="s">
        <v>11</v>
      </c>
      <c r="BR19" s="2" t="s">
        <v>11</v>
      </c>
      <c r="BS19" s="2" t="s">
        <v>11</v>
      </c>
      <c r="BT19" s="2" t="s">
        <v>11</v>
      </c>
      <c r="BU19" s="2" t="s">
        <v>11</v>
      </c>
      <c r="BV19" s="2" t="s">
        <v>20</v>
      </c>
      <c r="BW19" s="2"/>
    </row>
    <row r="20" spans="1:75" x14ac:dyDescent="0.3">
      <c r="A20" s="1">
        <v>46146.012013888889</v>
      </c>
      <c r="B20" s="2" t="s">
        <v>9</v>
      </c>
      <c r="C20" s="2" t="s">
        <v>15</v>
      </c>
      <c r="D20" s="2" t="s">
        <v>14</v>
      </c>
      <c r="E20" s="2" t="s">
        <v>12</v>
      </c>
      <c r="F20" s="2" t="s">
        <v>13</v>
      </c>
      <c r="G20" s="2" t="s">
        <v>11</v>
      </c>
      <c r="H20" s="2" t="s">
        <v>12</v>
      </c>
      <c r="I20" s="2" t="s">
        <v>14</v>
      </c>
      <c r="J20" s="2" t="s">
        <v>13</v>
      </c>
      <c r="K20" s="2" t="s">
        <v>11</v>
      </c>
      <c r="L20" s="2" t="s">
        <v>12</v>
      </c>
      <c r="M20" s="2" t="s">
        <v>14</v>
      </c>
      <c r="N20" s="2" t="s">
        <v>13</v>
      </c>
      <c r="O20" s="2" t="s">
        <v>11</v>
      </c>
      <c r="P20" s="2" t="s">
        <v>14</v>
      </c>
      <c r="Q20" s="2" t="s">
        <v>13</v>
      </c>
      <c r="R20" s="2" t="s">
        <v>14</v>
      </c>
      <c r="S20" s="2" t="s">
        <v>12</v>
      </c>
      <c r="T20" s="2" t="s">
        <v>14</v>
      </c>
      <c r="U20" s="2" t="s">
        <v>11</v>
      </c>
      <c r="V20" s="2" t="s">
        <v>12</v>
      </c>
      <c r="W20" s="2" t="s">
        <v>13</v>
      </c>
      <c r="X20" s="2" t="s">
        <v>11</v>
      </c>
      <c r="Y20" s="2" t="s">
        <v>14</v>
      </c>
      <c r="Z20" s="2" t="s">
        <v>13</v>
      </c>
      <c r="AA20" s="2" t="s">
        <v>12</v>
      </c>
      <c r="AB20" s="2" t="s">
        <v>11</v>
      </c>
      <c r="AC20" s="2" t="s">
        <v>12</v>
      </c>
      <c r="AD20" s="2" t="s">
        <v>14</v>
      </c>
      <c r="AE20" s="2" t="s">
        <v>13</v>
      </c>
      <c r="AF20" s="2" t="s">
        <v>12</v>
      </c>
      <c r="AG20" s="2" t="s">
        <v>13</v>
      </c>
      <c r="AH20" s="2" t="s">
        <v>14</v>
      </c>
      <c r="AI20" s="2" t="s">
        <v>11</v>
      </c>
      <c r="AJ20" s="2" t="s">
        <v>11</v>
      </c>
      <c r="AK20" s="2" t="s">
        <v>14</v>
      </c>
      <c r="AL20" s="2" t="s">
        <v>13</v>
      </c>
      <c r="AM20" s="2" t="s">
        <v>12</v>
      </c>
      <c r="AN20" s="2" t="s">
        <v>12</v>
      </c>
      <c r="AO20" s="2" t="s">
        <v>11</v>
      </c>
      <c r="AP20" s="2" t="s">
        <v>13</v>
      </c>
      <c r="AQ20" s="2" t="s">
        <v>14</v>
      </c>
      <c r="AR20" s="2" t="s">
        <v>14</v>
      </c>
      <c r="AS20" s="2" t="s">
        <v>13</v>
      </c>
      <c r="AT20" s="2" t="s">
        <v>11</v>
      </c>
      <c r="AU20" s="2" t="s">
        <v>14</v>
      </c>
      <c r="AV20" s="2" t="s">
        <v>13</v>
      </c>
      <c r="AW20" s="2" t="s">
        <v>11</v>
      </c>
      <c r="AX20" s="2" t="s">
        <v>11</v>
      </c>
      <c r="AY20" s="2" t="s">
        <v>14</v>
      </c>
      <c r="AZ20" s="2" t="s">
        <v>13</v>
      </c>
      <c r="BA20" s="2" t="s">
        <v>11</v>
      </c>
      <c r="BB20" s="2" t="s">
        <v>13</v>
      </c>
      <c r="BC20" s="2" t="s">
        <v>14</v>
      </c>
      <c r="BD20" s="2" t="s">
        <v>14</v>
      </c>
      <c r="BE20" s="2" t="s">
        <v>13</v>
      </c>
      <c r="BF20" s="2" t="s">
        <v>11</v>
      </c>
      <c r="BG20" s="2" t="s">
        <v>14</v>
      </c>
      <c r="BH20" s="2" t="s">
        <v>13</v>
      </c>
      <c r="BI20" s="2" t="s">
        <v>11</v>
      </c>
      <c r="BJ20" s="2" t="s">
        <v>13</v>
      </c>
      <c r="BK20" s="2" t="s">
        <v>14</v>
      </c>
      <c r="BL20" s="2" t="s">
        <v>11</v>
      </c>
      <c r="BM20" s="2" t="s">
        <v>13</v>
      </c>
      <c r="BN20" s="2" t="s">
        <v>14</v>
      </c>
      <c r="BO20" s="2" t="s">
        <v>11</v>
      </c>
      <c r="BP20" s="2" t="s">
        <v>11</v>
      </c>
      <c r="BQ20" s="2" t="s">
        <v>13</v>
      </c>
      <c r="BR20" s="2" t="s">
        <v>14</v>
      </c>
      <c r="BS20" s="2" t="s">
        <v>11</v>
      </c>
      <c r="BT20" s="2" t="s">
        <v>13</v>
      </c>
      <c r="BU20" s="2" t="s">
        <v>14</v>
      </c>
      <c r="BV20" s="2" t="s">
        <v>21</v>
      </c>
      <c r="BW20" s="2"/>
    </row>
    <row r="21" spans="1:75" x14ac:dyDescent="0.3">
      <c r="A21" s="1">
        <v>46146.677118055559</v>
      </c>
      <c r="B21" s="2" t="s">
        <v>9</v>
      </c>
      <c r="C21" s="2" t="s">
        <v>10</v>
      </c>
      <c r="D21" s="2" t="s">
        <v>11</v>
      </c>
      <c r="E21" s="2" t="s">
        <v>12</v>
      </c>
      <c r="F21" s="2" t="s">
        <v>14</v>
      </c>
      <c r="G21" s="2" t="s">
        <v>13</v>
      </c>
      <c r="H21" s="2" t="s">
        <v>11</v>
      </c>
      <c r="I21" s="2" t="s">
        <v>12</v>
      </c>
      <c r="J21" s="2" t="s">
        <v>14</v>
      </c>
      <c r="K21" s="2" t="s">
        <v>13</v>
      </c>
      <c r="L21" s="2" t="s">
        <v>14</v>
      </c>
      <c r="M21" s="2" t="s">
        <v>13</v>
      </c>
      <c r="N21" s="2" t="s">
        <v>11</v>
      </c>
      <c r="O21" s="2" t="s">
        <v>12</v>
      </c>
      <c r="P21" s="2" t="s">
        <v>11</v>
      </c>
      <c r="Q21" s="2" t="s">
        <v>12</v>
      </c>
      <c r="R21" s="2" t="s">
        <v>13</v>
      </c>
      <c r="S21" s="2" t="s">
        <v>14</v>
      </c>
      <c r="T21" s="2" t="s">
        <v>11</v>
      </c>
      <c r="U21" s="2" t="s">
        <v>12</v>
      </c>
      <c r="V21" s="2" t="s">
        <v>13</v>
      </c>
      <c r="W21" s="2" t="s">
        <v>14</v>
      </c>
      <c r="X21" s="2" t="s">
        <v>14</v>
      </c>
      <c r="Y21" s="2" t="s">
        <v>13</v>
      </c>
      <c r="Z21" s="2" t="s">
        <v>12</v>
      </c>
      <c r="AA21" s="2" t="s">
        <v>11</v>
      </c>
      <c r="AB21" s="2" t="s">
        <v>11</v>
      </c>
      <c r="AC21" s="2" t="s">
        <v>12</v>
      </c>
      <c r="AD21" s="2" t="s">
        <v>13</v>
      </c>
      <c r="AE21" s="2" t="s">
        <v>14</v>
      </c>
      <c r="AF21" s="2" t="s">
        <v>11</v>
      </c>
      <c r="AG21" s="2" t="s">
        <v>12</v>
      </c>
      <c r="AH21" s="2" t="s">
        <v>14</v>
      </c>
      <c r="AI21" s="2" t="s">
        <v>13</v>
      </c>
      <c r="AJ21" s="2" t="s">
        <v>14</v>
      </c>
      <c r="AK21" s="2" t="s">
        <v>12</v>
      </c>
      <c r="AL21" s="2" t="s">
        <v>11</v>
      </c>
      <c r="AM21" s="2" t="s">
        <v>13</v>
      </c>
      <c r="AN21" s="2" t="s">
        <v>12</v>
      </c>
      <c r="AO21" s="2" t="s">
        <v>14</v>
      </c>
      <c r="AP21" s="2" t="s">
        <v>13</v>
      </c>
      <c r="AQ21" s="2" t="s">
        <v>11</v>
      </c>
      <c r="AR21" s="2" t="s">
        <v>14</v>
      </c>
      <c r="AS21" s="2" t="s">
        <v>13</v>
      </c>
      <c r="AT21" s="2" t="s">
        <v>11</v>
      </c>
      <c r="AU21" s="2" t="s">
        <v>14</v>
      </c>
      <c r="AV21" s="2" t="s">
        <v>13</v>
      </c>
      <c r="AW21" s="2" t="s">
        <v>11</v>
      </c>
      <c r="AX21" s="2" t="s">
        <v>13</v>
      </c>
      <c r="AY21" s="2" t="s">
        <v>11</v>
      </c>
      <c r="AZ21" s="2" t="s">
        <v>14</v>
      </c>
      <c r="BA21" s="2" t="s">
        <v>11</v>
      </c>
      <c r="BB21" s="2" t="s">
        <v>13</v>
      </c>
      <c r="BC21" s="2" t="s">
        <v>14</v>
      </c>
      <c r="BD21" s="2" t="s">
        <v>14</v>
      </c>
      <c r="BE21" s="2" t="s">
        <v>13</v>
      </c>
      <c r="BF21" s="2" t="s">
        <v>11</v>
      </c>
      <c r="BG21" s="2" t="s">
        <v>13</v>
      </c>
      <c r="BH21" s="2" t="s">
        <v>14</v>
      </c>
      <c r="BI21" s="2" t="s">
        <v>11</v>
      </c>
      <c r="BJ21" s="2" t="s">
        <v>11</v>
      </c>
      <c r="BK21" s="2" t="s">
        <v>13</v>
      </c>
      <c r="BL21" s="2" t="s">
        <v>14</v>
      </c>
      <c r="BM21" s="2" t="s">
        <v>14</v>
      </c>
      <c r="BN21" s="2" t="s">
        <v>13</v>
      </c>
      <c r="BO21" s="2" t="s">
        <v>11</v>
      </c>
      <c r="BP21" s="2" t="s">
        <v>11</v>
      </c>
      <c r="BQ21" s="2" t="s">
        <v>13</v>
      </c>
      <c r="BR21" s="2" t="s">
        <v>14</v>
      </c>
      <c r="BS21" s="2" t="s">
        <v>13</v>
      </c>
      <c r="BT21" s="2" t="s">
        <v>11</v>
      </c>
      <c r="BU21" s="2" t="s">
        <v>14</v>
      </c>
      <c r="BV21" s="2" t="s">
        <v>22</v>
      </c>
      <c r="BW21" s="2"/>
    </row>
    <row r="22" spans="1:75" x14ac:dyDescent="0.3">
      <c r="A22" s="1">
        <v>46147.506388888891</v>
      </c>
      <c r="B22" s="2" t="s">
        <v>23</v>
      </c>
      <c r="C22" s="2" t="s">
        <v>10</v>
      </c>
      <c r="D22" s="2" t="s">
        <v>14</v>
      </c>
      <c r="E22" s="2" t="s">
        <v>13</v>
      </c>
      <c r="F22" s="2" t="s">
        <v>12</v>
      </c>
      <c r="G22" s="2" t="s">
        <v>11</v>
      </c>
      <c r="H22" s="2" t="s">
        <v>11</v>
      </c>
      <c r="I22" s="2" t="s">
        <v>12</v>
      </c>
      <c r="J22" s="2" t="s">
        <v>14</v>
      </c>
      <c r="K22" s="2" t="s">
        <v>13</v>
      </c>
      <c r="L22" s="2" t="s">
        <v>12</v>
      </c>
      <c r="M22" s="2" t="s">
        <v>11</v>
      </c>
      <c r="N22" s="2" t="s">
        <v>13</v>
      </c>
      <c r="O22" s="2" t="s">
        <v>14</v>
      </c>
      <c r="P22" s="2" t="s">
        <v>14</v>
      </c>
      <c r="Q22" s="2" t="s">
        <v>11</v>
      </c>
      <c r="R22" s="2" t="s">
        <v>12</v>
      </c>
      <c r="S22" s="2" t="s">
        <v>12</v>
      </c>
      <c r="T22" s="2" t="s">
        <v>11</v>
      </c>
      <c r="U22" s="2" t="s">
        <v>12</v>
      </c>
      <c r="V22" s="2" t="s">
        <v>14</v>
      </c>
      <c r="W22" s="2" t="s">
        <v>13</v>
      </c>
      <c r="X22" s="2" t="s">
        <v>11</v>
      </c>
      <c r="Y22" s="2" t="s">
        <v>13</v>
      </c>
      <c r="Z22" s="2" t="s">
        <v>14</v>
      </c>
      <c r="AA22" s="2" t="s">
        <v>12</v>
      </c>
      <c r="AB22" s="2" t="s">
        <v>12</v>
      </c>
      <c r="AC22" s="2" t="s">
        <v>11</v>
      </c>
      <c r="AD22" s="2" t="s">
        <v>13</v>
      </c>
      <c r="AE22" s="2" t="s">
        <v>14</v>
      </c>
      <c r="AF22" s="2" t="s">
        <v>12</v>
      </c>
      <c r="AG22" s="2" t="s">
        <v>11</v>
      </c>
      <c r="AH22" s="2" t="s">
        <v>13</v>
      </c>
      <c r="AI22" s="2" t="s">
        <v>14</v>
      </c>
      <c r="AJ22" s="2" t="s">
        <v>11</v>
      </c>
      <c r="AK22" s="2" t="s">
        <v>14</v>
      </c>
      <c r="AL22" s="2" t="s">
        <v>12</v>
      </c>
      <c r="AM22" s="2" t="s">
        <v>13</v>
      </c>
      <c r="AN22" s="2" t="s">
        <v>12</v>
      </c>
      <c r="AO22" s="2" t="s">
        <v>14</v>
      </c>
      <c r="AP22" s="2" t="s">
        <v>13</v>
      </c>
      <c r="AQ22" s="2" t="s">
        <v>11</v>
      </c>
      <c r="AR22" s="2" t="s">
        <v>14</v>
      </c>
      <c r="AS22" s="2" t="s">
        <v>13</v>
      </c>
      <c r="AT22" s="2" t="s">
        <v>11</v>
      </c>
      <c r="AU22" s="2" t="s">
        <v>14</v>
      </c>
      <c r="AV22" s="2" t="s">
        <v>13</v>
      </c>
      <c r="AW22" s="2" t="s">
        <v>11</v>
      </c>
      <c r="AX22" s="2" t="s">
        <v>13</v>
      </c>
      <c r="AY22" s="2" t="s">
        <v>11</v>
      </c>
      <c r="AZ22" s="2" t="s">
        <v>14</v>
      </c>
      <c r="BA22" s="2" t="s">
        <v>14</v>
      </c>
      <c r="BB22" s="2" t="s">
        <v>13</v>
      </c>
      <c r="BC22" s="2" t="s">
        <v>11</v>
      </c>
      <c r="BD22" s="2" t="s">
        <v>13</v>
      </c>
      <c r="BE22" s="2" t="s">
        <v>14</v>
      </c>
      <c r="BF22" s="2" t="s">
        <v>11</v>
      </c>
      <c r="BG22" s="2" t="s">
        <v>14</v>
      </c>
      <c r="BH22" s="2" t="s">
        <v>13</v>
      </c>
      <c r="BI22" s="2" t="s">
        <v>11</v>
      </c>
      <c r="BJ22" s="2" t="s">
        <v>14</v>
      </c>
      <c r="BK22" s="2" t="s">
        <v>13</v>
      </c>
      <c r="BL22" s="2" t="s">
        <v>11</v>
      </c>
      <c r="BM22" s="2" t="s">
        <v>13</v>
      </c>
      <c r="BN22" s="2" t="s">
        <v>11</v>
      </c>
      <c r="BO22" s="2" t="s">
        <v>14</v>
      </c>
      <c r="BP22" s="2" t="s">
        <v>14</v>
      </c>
      <c r="BQ22" s="2" t="s">
        <v>11</v>
      </c>
      <c r="BR22" s="2" t="s">
        <v>13</v>
      </c>
      <c r="BS22" s="2" t="s">
        <v>11</v>
      </c>
      <c r="BT22" s="2" t="s">
        <v>13</v>
      </c>
      <c r="BU22" s="2" t="s">
        <v>14</v>
      </c>
      <c r="BV22" s="2" t="s">
        <v>24</v>
      </c>
      <c r="BW22" s="2"/>
    </row>
    <row r="23" spans="1:75" x14ac:dyDescent="0.3">
      <c r="A23" s="1">
        <v>46147.516238425924</v>
      </c>
      <c r="B23" s="2" t="s">
        <v>25</v>
      </c>
      <c r="C23" s="2" t="s">
        <v>10</v>
      </c>
      <c r="D23" s="2" t="s">
        <v>13</v>
      </c>
      <c r="E23" s="2" t="s">
        <v>12</v>
      </c>
      <c r="F23" s="2" t="s">
        <v>11</v>
      </c>
      <c r="G23" s="2" t="s">
        <v>14</v>
      </c>
      <c r="H23" s="2" t="s">
        <v>13</v>
      </c>
      <c r="I23" s="2" t="s">
        <v>14</v>
      </c>
      <c r="J23" s="2" t="s">
        <v>12</v>
      </c>
      <c r="K23" s="2" t="s">
        <v>11</v>
      </c>
      <c r="L23" s="2" t="s">
        <v>13</v>
      </c>
      <c r="M23" s="2" t="s">
        <v>14</v>
      </c>
      <c r="N23" s="2" t="s">
        <v>12</v>
      </c>
      <c r="O23" s="2" t="s">
        <v>11</v>
      </c>
      <c r="P23" s="2" t="s">
        <v>11</v>
      </c>
      <c r="Q23" s="2" t="s">
        <v>12</v>
      </c>
      <c r="R23" s="2" t="s">
        <v>14</v>
      </c>
      <c r="S23" s="2" t="s">
        <v>13</v>
      </c>
      <c r="T23" s="2" t="s">
        <v>11</v>
      </c>
      <c r="U23" s="2" t="s">
        <v>12</v>
      </c>
      <c r="V23" s="2" t="s">
        <v>13</v>
      </c>
      <c r="W23" s="2" t="s">
        <v>14</v>
      </c>
      <c r="X23" s="2" t="s">
        <v>14</v>
      </c>
      <c r="Y23" s="2" t="s">
        <v>13</v>
      </c>
      <c r="Z23" s="2" t="s">
        <v>12</v>
      </c>
      <c r="AA23" s="2" t="s">
        <v>11</v>
      </c>
      <c r="AB23" s="2" t="s">
        <v>11</v>
      </c>
      <c r="AC23" s="2" t="s">
        <v>12</v>
      </c>
      <c r="AD23" s="2" t="s">
        <v>13</v>
      </c>
      <c r="AE23" s="2" t="s">
        <v>14</v>
      </c>
      <c r="AF23" s="2" t="s">
        <v>13</v>
      </c>
      <c r="AG23" s="2" t="s">
        <v>14</v>
      </c>
      <c r="AH23" s="2" t="s">
        <v>12</v>
      </c>
      <c r="AI23" s="2" t="s">
        <v>11</v>
      </c>
      <c r="AJ23" s="2" t="s">
        <v>11</v>
      </c>
      <c r="AK23" s="2" t="s">
        <v>12</v>
      </c>
      <c r="AL23" s="2" t="s">
        <v>14</v>
      </c>
      <c r="AM23" s="2" t="s">
        <v>13</v>
      </c>
      <c r="AN23" s="2" t="s">
        <v>12</v>
      </c>
      <c r="AO23" s="2" t="s">
        <v>13</v>
      </c>
      <c r="AP23" s="2" t="s">
        <v>14</v>
      </c>
      <c r="AQ23" s="2" t="s">
        <v>11</v>
      </c>
      <c r="AR23" s="2" t="s">
        <v>14</v>
      </c>
      <c r="AS23" s="2" t="s">
        <v>11</v>
      </c>
      <c r="AT23" s="2" t="s">
        <v>13</v>
      </c>
      <c r="AU23" s="2" t="s">
        <v>14</v>
      </c>
      <c r="AV23" s="2" t="s">
        <v>13</v>
      </c>
      <c r="AW23" s="2" t="s">
        <v>11</v>
      </c>
      <c r="AX23" s="2" t="s">
        <v>14</v>
      </c>
      <c r="AY23" s="2" t="s">
        <v>11</v>
      </c>
      <c r="AZ23" s="2" t="s">
        <v>13</v>
      </c>
      <c r="BA23" s="2" t="s">
        <v>11</v>
      </c>
      <c r="BB23" s="2" t="s">
        <v>13</v>
      </c>
      <c r="BC23" s="2" t="s">
        <v>14</v>
      </c>
      <c r="BD23" s="2" t="s">
        <v>14</v>
      </c>
      <c r="BE23" s="2" t="s">
        <v>13</v>
      </c>
      <c r="BF23" s="2" t="s">
        <v>11</v>
      </c>
      <c r="BG23" s="2" t="s">
        <v>11</v>
      </c>
      <c r="BH23" s="2" t="s">
        <v>14</v>
      </c>
      <c r="BI23" s="2" t="s">
        <v>13</v>
      </c>
      <c r="BJ23" s="2" t="s">
        <v>13</v>
      </c>
      <c r="BK23" s="2" t="s">
        <v>11</v>
      </c>
      <c r="BL23" s="2" t="s">
        <v>14</v>
      </c>
      <c r="BM23" s="2" t="s">
        <v>13</v>
      </c>
      <c r="BN23" s="2" t="s">
        <v>11</v>
      </c>
      <c r="BO23" s="2" t="s">
        <v>14</v>
      </c>
      <c r="BP23" s="2" t="s">
        <v>11</v>
      </c>
      <c r="BQ23" s="2" t="s">
        <v>13</v>
      </c>
      <c r="BR23" s="2" t="s">
        <v>14</v>
      </c>
      <c r="BS23" s="2" t="s">
        <v>13</v>
      </c>
      <c r="BT23" s="2" t="s">
        <v>11</v>
      </c>
      <c r="BU23" s="2" t="s">
        <v>14</v>
      </c>
      <c r="BV23" s="2" t="s">
        <v>26</v>
      </c>
      <c r="BW23" s="2"/>
    </row>
    <row r="24" spans="1:75" x14ac:dyDescent="0.3">
      <c r="A24" s="1">
        <v>46147.531689814816</v>
      </c>
      <c r="B24" s="2" t="s">
        <v>9</v>
      </c>
      <c r="C24" s="2" t="s">
        <v>16</v>
      </c>
      <c r="D24" s="2" t="s">
        <v>13</v>
      </c>
      <c r="E24" s="2" t="s">
        <v>12</v>
      </c>
      <c r="F24" s="2" t="s">
        <v>11</v>
      </c>
      <c r="G24" s="2" t="s">
        <v>14</v>
      </c>
      <c r="H24" s="2" t="s">
        <v>13</v>
      </c>
      <c r="I24" s="2" t="s">
        <v>14</v>
      </c>
      <c r="J24" s="2" t="s">
        <v>12</v>
      </c>
      <c r="K24" s="2" t="s">
        <v>11</v>
      </c>
      <c r="L24" s="2" t="s">
        <v>14</v>
      </c>
      <c r="M24" s="2" t="s">
        <v>13</v>
      </c>
      <c r="N24" s="2" t="s">
        <v>11</v>
      </c>
      <c r="O24" s="2" t="s">
        <v>12</v>
      </c>
      <c r="P24" s="2" t="s">
        <v>11</v>
      </c>
      <c r="Q24" s="2" t="s">
        <v>12</v>
      </c>
      <c r="R24" s="2" t="s">
        <v>13</v>
      </c>
      <c r="S24" s="2" t="s">
        <v>14</v>
      </c>
      <c r="T24" s="2" t="s">
        <v>11</v>
      </c>
      <c r="U24" s="2" t="s">
        <v>12</v>
      </c>
      <c r="V24" s="2" t="s">
        <v>13</v>
      </c>
      <c r="W24" s="2" t="s">
        <v>14</v>
      </c>
      <c r="X24" s="2" t="s">
        <v>14</v>
      </c>
      <c r="Y24" s="2" t="s">
        <v>11</v>
      </c>
      <c r="Z24" s="2" t="s">
        <v>12</v>
      </c>
      <c r="AA24" s="2" t="s">
        <v>13</v>
      </c>
      <c r="AB24" s="2" t="s">
        <v>13</v>
      </c>
      <c r="AC24" s="2" t="s">
        <v>12</v>
      </c>
      <c r="AD24" s="2" t="s">
        <v>11</v>
      </c>
      <c r="AE24" s="2" t="s">
        <v>14</v>
      </c>
      <c r="AF24" s="2" t="s">
        <v>14</v>
      </c>
      <c r="AG24" s="2" t="s">
        <v>13</v>
      </c>
      <c r="AH24" s="2" t="s">
        <v>12</v>
      </c>
      <c r="AI24" s="2" t="s">
        <v>11</v>
      </c>
      <c r="AJ24" s="2" t="s">
        <v>11</v>
      </c>
      <c r="AK24" s="2" t="s">
        <v>12</v>
      </c>
      <c r="AL24" s="2" t="s">
        <v>14</v>
      </c>
      <c r="AM24" s="2" t="s">
        <v>13</v>
      </c>
      <c r="AN24" s="2" t="s">
        <v>13</v>
      </c>
      <c r="AO24" s="2" t="s">
        <v>12</v>
      </c>
      <c r="AP24" s="2" t="s">
        <v>14</v>
      </c>
      <c r="AQ24" s="2" t="s">
        <v>11</v>
      </c>
      <c r="AR24" s="2" t="s">
        <v>14</v>
      </c>
      <c r="AS24" s="2" t="s">
        <v>13</v>
      </c>
      <c r="AT24" s="2" t="s">
        <v>11</v>
      </c>
      <c r="AU24" s="2" t="s">
        <v>14</v>
      </c>
      <c r="AV24" s="2" t="s">
        <v>13</v>
      </c>
      <c r="AW24" s="2" t="s">
        <v>11</v>
      </c>
      <c r="AX24" s="2" t="s">
        <v>14</v>
      </c>
      <c r="AY24" s="2" t="s">
        <v>11</v>
      </c>
      <c r="AZ24" s="2" t="s">
        <v>13</v>
      </c>
      <c r="BA24" s="2" t="s">
        <v>11</v>
      </c>
      <c r="BB24" s="2" t="s">
        <v>13</v>
      </c>
      <c r="BC24" s="2" t="s">
        <v>14</v>
      </c>
      <c r="BD24" s="2" t="s">
        <v>14</v>
      </c>
      <c r="BE24" s="2" t="s">
        <v>13</v>
      </c>
      <c r="BF24" s="2" t="s">
        <v>11</v>
      </c>
      <c r="BG24" s="2" t="s">
        <v>11</v>
      </c>
      <c r="BH24" s="2" t="s">
        <v>14</v>
      </c>
      <c r="BI24" s="2" t="s">
        <v>13</v>
      </c>
      <c r="BJ24" s="2" t="s">
        <v>14</v>
      </c>
      <c r="BK24" s="2" t="s">
        <v>11</v>
      </c>
      <c r="BL24" s="2" t="s">
        <v>13</v>
      </c>
      <c r="BM24" s="2" t="s">
        <v>14</v>
      </c>
      <c r="BN24" s="2" t="s">
        <v>11</v>
      </c>
      <c r="BO24" s="2" t="s">
        <v>13</v>
      </c>
      <c r="BP24" s="2" t="s">
        <v>11</v>
      </c>
      <c r="BQ24" s="2" t="s">
        <v>13</v>
      </c>
      <c r="BR24" s="2" t="s">
        <v>14</v>
      </c>
      <c r="BS24" s="2" t="s">
        <v>11</v>
      </c>
      <c r="BT24" s="2" t="s">
        <v>13</v>
      </c>
      <c r="BU24" s="2" t="s">
        <v>14</v>
      </c>
      <c r="BV24" s="2" t="s">
        <v>27</v>
      </c>
      <c r="BW24" s="2"/>
    </row>
    <row r="25" spans="1:75" x14ac:dyDescent="0.3">
      <c r="A25" s="1">
        <v>46147.539988425924</v>
      </c>
      <c r="B25" s="2" t="s">
        <v>23</v>
      </c>
      <c r="C25" s="2" t="s">
        <v>10</v>
      </c>
      <c r="D25" s="2" t="s">
        <v>13</v>
      </c>
      <c r="E25" s="2" t="s">
        <v>12</v>
      </c>
      <c r="F25" s="2" t="s">
        <v>11</v>
      </c>
      <c r="G25" s="2" t="s">
        <v>14</v>
      </c>
      <c r="H25" s="2" t="s">
        <v>11</v>
      </c>
      <c r="I25" s="2" t="s">
        <v>14</v>
      </c>
      <c r="J25" s="2" t="s">
        <v>12</v>
      </c>
      <c r="K25" s="2" t="s">
        <v>13</v>
      </c>
      <c r="L25" s="2" t="s">
        <v>12</v>
      </c>
      <c r="M25" s="2" t="s">
        <v>13</v>
      </c>
      <c r="N25" s="2" t="s">
        <v>14</v>
      </c>
      <c r="O25" s="2" t="s">
        <v>11</v>
      </c>
      <c r="P25" s="2" t="s">
        <v>11</v>
      </c>
      <c r="Q25" s="2" t="s">
        <v>12</v>
      </c>
      <c r="R25" s="2" t="s">
        <v>13</v>
      </c>
      <c r="S25" s="2" t="s">
        <v>14</v>
      </c>
      <c r="T25" s="2" t="s">
        <v>14</v>
      </c>
      <c r="U25" s="2" t="s">
        <v>12</v>
      </c>
      <c r="V25" s="2" t="s">
        <v>13</v>
      </c>
      <c r="W25" s="2" t="s">
        <v>11</v>
      </c>
      <c r="X25" s="2" t="s">
        <v>11</v>
      </c>
      <c r="Y25" s="2" t="s">
        <v>12</v>
      </c>
      <c r="Z25" s="2" t="s">
        <v>14</v>
      </c>
      <c r="AA25" s="2" t="s">
        <v>13</v>
      </c>
      <c r="AB25" s="2" t="s">
        <v>13</v>
      </c>
      <c r="AC25" s="2" t="s">
        <v>12</v>
      </c>
      <c r="AD25" s="2" t="s">
        <v>11</v>
      </c>
      <c r="AE25" s="2" t="s">
        <v>14</v>
      </c>
      <c r="AF25" s="2" t="s">
        <v>14</v>
      </c>
      <c r="AG25" s="2" t="s">
        <v>13</v>
      </c>
      <c r="AH25" s="2" t="s">
        <v>12</v>
      </c>
      <c r="AI25" s="2" t="s">
        <v>11</v>
      </c>
      <c r="AJ25" s="2" t="s">
        <v>11</v>
      </c>
      <c r="AK25" s="2" t="s">
        <v>14</v>
      </c>
      <c r="AL25" s="2" t="s">
        <v>12</v>
      </c>
      <c r="AM25" s="2" t="s">
        <v>13</v>
      </c>
      <c r="AN25" s="2" t="s">
        <v>13</v>
      </c>
      <c r="AO25" s="2" t="s">
        <v>14</v>
      </c>
      <c r="AP25" s="2" t="s">
        <v>12</v>
      </c>
      <c r="AQ25" s="2" t="s">
        <v>11</v>
      </c>
      <c r="AR25" s="2" t="s">
        <v>14</v>
      </c>
      <c r="AS25" s="2" t="s">
        <v>13</v>
      </c>
      <c r="AT25" s="2" t="s">
        <v>11</v>
      </c>
      <c r="AU25" s="2" t="s">
        <v>14</v>
      </c>
      <c r="AV25" s="2" t="s">
        <v>13</v>
      </c>
      <c r="AW25" s="2" t="s">
        <v>11</v>
      </c>
      <c r="AX25" s="2" t="s">
        <v>13</v>
      </c>
      <c r="AY25" s="2" t="s">
        <v>11</v>
      </c>
      <c r="AZ25" s="2" t="s">
        <v>14</v>
      </c>
      <c r="BA25" s="2" t="s">
        <v>11</v>
      </c>
      <c r="BB25" s="2" t="s">
        <v>13</v>
      </c>
      <c r="BC25" s="2" t="s">
        <v>14</v>
      </c>
      <c r="BD25" s="2" t="s">
        <v>14</v>
      </c>
      <c r="BE25" s="2" t="s">
        <v>13</v>
      </c>
      <c r="BF25" s="2" t="s">
        <v>11</v>
      </c>
      <c r="BG25" s="2" t="s">
        <v>13</v>
      </c>
      <c r="BH25" s="2" t="s">
        <v>14</v>
      </c>
      <c r="BI25" s="2" t="s">
        <v>11</v>
      </c>
      <c r="BJ25" s="2" t="s">
        <v>14</v>
      </c>
      <c r="BK25" s="2" t="s">
        <v>11</v>
      </c>
      <c r="BL25" s="2" t="s">
        <v>13</v>
      </c>
      <c r="BM25" s="2" t="s">
        <v>14</v>
      </c>
      <c r="BN25" s="2" t="s">
        <v>11</v>
      </c>
      <c r="BO25" s="2" t="s">
        <v>13</v>
      </c>
      <c r="BP25" s="2" t="s">
        <v>13</v>
      </c>
      <c r="BQ25" s="2" t="s">
        <v>14</v>
      </c>
      <c r="BR25" s="2" t="s">
        <v>11</v>
      </c>
      <c r="BS25" s="2" t="s">
        <v>13</v>
      </c>
      <c r="BT25" s="2" t="s">
        <v>11</v>
      </c>
      <c r="BU25" s="2" t="s">
        <v>14</v>
      </c>
      <c r="BV25" s="2" t="s">
        <v>28</v>
      </c>
      <c r="BW25" s="2"/>
    </row>
    <row r="26" spans="1:75" x14ac:dyDescent="0.3">
      <c r="A26" s="1">
        <v>46147.545787037037</v>
      </c>
      <c r="B26" s="2" t="s">
        <v>25</v>
      </c>
      <c r="C26" s="2" t="s">
        <v>10</v>
      </c>
      <c r="D26" s="2" t="s">
        <v>12</v>
      </c>
      <c r="E26" s="2" t="s">
        <v>12</v>
      </c>
      <c r="F26" s="2" t="s">
        <v>12</v>
      </c>
      <c r="G26" s="2" t="s">
        <v>12</v>
      </c>
      <c r="H26" s="2" t="s">
        <v>11</v>
      </c>
      <c r="I26" s="2" t="s">
        <v>12</v>
      </c>
      <c r="J26" s="2" t="s">
        <v>12</v>
      </c>
      <c r="K26" s="2" t="s">
        <v>14</v>
      </c>
      <c r="L26" s="2" t="s">
        <v>14</v>
      </c>
      <c r="M26" s="2" t="s">
        <v>11</v>
      </c>
      <c r="N26" s="2" t="s">
        <v>14</v>
      </c>
      <c r="O26" s="2" t="s">
        <v>11</v>
      </c>
      <c r="P26" s="2" t="s">
        <v>11</v>
      </c>
      <c r="Q26" s="2" t="s">
        <v>12</v>
      </c>
      <c r="R26" s="2" t="s">
        <v>13</v>
      </c>
      <c r="S26" s="2" t="s">
        <v>14</v>
      </c>
      <c r="T26" s="2" t="s">
        <v>11</v>
      </c>
      <c r="U26" s="2" t="s">
        <v>13</v>
      </c>
      <c r="V26" s="2" t="s">
        <v>14</v>
      </c>
      <c r="W26" s="2" t="s">
        <v>12</v>
      </c>
      <c r="X26" s="2" t="s">
        <v>11</v>
      </c>
      <c r="Y26" s="2" t="s">
        <v>12</v>
      </c>
      <c r="Z26" s="2" t="s">
        <v>12</v>
      </c>
      <c r="AA26" s="2" t="s">
        <v>12</v>
      </c>
      <c r="AB26" s="2" t="s">
        <v>12</v>
      </c>
      <c r="AC26" s="2" t="s">
        <v>12</v>
      </c>
      <c r="AD26" s="2" t="s">
        <v>12</v>
      </c>
      <c r="AE26" s="2" t="s">
        <v>12</v>
      </c>
      <c r="AF26" s="2" t="s">
        <v>12</v>
      </c>
      <c r="AG26" s="2" t="s">
        <v>12</v>
      </c>
      <c r="AH26" s="2" t="s">
        <v>12</v>
      </c>
      <c r="AI26" s="2" t="s">
        <v>11</v>
      </c>
      <c r="AJ26" s="2" t="s">
        <v>11</v>
      </c>
      <c r="AK26" s="2" t="s">
        <v>12</v>
      </c>
      <c r="AL26" s="2" t="s">
        <v>14</v>
      </c>
      <c r="AM26" s="2" t="s">
        <v>13</v>
      </c>
      <c r="AN26" s="2" t="s">
        <v>13</v>
      </c>
      <c r="AO26" s="2" t="s">
        <v>13</v>
      </c>
      <c r="AP26" s="2" t="s">
        <v>13</v>
      </c>
      <c r="AQ26" s="2" t="s">
        <v>11</v>
      </c>
      <c r="AR26" s="2" t="s">
        <v>14</v>
      </c>
      <c r="AS26" s="2" t="s">
        <v>13</v>
      </c>
      <c r="AT26" s="2" t="s">
        <v>11</v>
      </c>
      <c r="AU26" s="2" t="s">
        <v>14</v>
      </c>
      <c r="AV26" s="2" t="s">
        <v>14</v>
      </c>
      <c r="AW26" s="2" t="s">
        <v>11</v>
      </c>
      <c r="AX26" s="2" t="s">
        <v>13</v>
      </c>
      <c r="AY26" s="2" t="s">
        <v>11</v>
      </c>
      <c r="AZ26" s="2" t="s">
        <v>14</v>
      </c>
      <c r="BA26" s="2" t="s">
        <v>11</v>
      </c>
      <c r="BB26" s="2" t="s">
        <v>13</v>
      </c>
      <c r="BC26" s="2" t="s">
        <v>14</v>
      </c>
      <c r="BD26" s="2" t="s">
        <v>14</v>
      </c>
      <c r="BE26" s="2" t="s">
        <v>14</v>
      </c>
      <c r="BF26" s="2" t="s">
        <v>11</v>
      </c>
      <c r="BG26" s="2" t="s">
        <v>11</v>
      </c>
      <c r="BH26" s="2" t="s">
        <v>13</v>
      </c>
      <c r="BI26" s="2" t="s">
        <v>14</v>
      </c>
      <c r="BJ26" s="2" t="s">
        <v>14</v>
      </c>
      <c r="BK26" s="2" t="s">
        <v>13</v>
      </c>
      <c r="BL26" s="2" t="s">
        <v>11</v>
      </c>
      <c r="BM26" s="2" t="s">
        <v>14</v>
      </c>
      <c r="BN26" s="2" t="s">
        <v>11</v>
      </c>
      <c r="BO26" s="2" t="s">
        <v>14</v>
      </c>
      <c r="BP26" s="2" t="s">
        <v>11</v>
      </c>
      <c r="BQ26" s="2" t="s">
        <v>13</v>
      </c>
      <c r="BR26" s="2" t="s">
        <v>14</v>
      </c>
      <c r="BS26" s="2" t="s">
        <v>11</v>
      </c>
      <c r="BT26" s="2" t="s">
        <v>13</v>
      </c>
      <c r="BU26" s="2" t="s">
        <v>14</v>
      </c>
      <c r="BV26" s="2" t="s">
        <v>29</v>
      </c>
      <c r="BW26" s="2"/>
    </row>
    <row r="27" spans="1:75" x14ac:dyDescent="0.3">
      <c r="A27" s="1">
        <v>46147.546284722222</v>
      </c>
      <c r="B27" s="2" t="s">
        <v>25</v>
      </c>
      <c r="C27" s="2" t="s">
        <v>10</v>
      </c>
      <c r="D27" s="2" t="s">
        <v>13</v>
      </c>
      <c r="E27" s="2" t="s">
        <v>14</v>
      </c>
      <c r="F27" s="2" t="s">
        <v>11</v>
      </c>
      <c r="G27" s="2" t="s">
        <v>12</v>
      </c>
      <c r="H27" s="2" t="s">
        <v>13</v>
      </c>
      <c r="I27" s="2" t="s">
        <v>12</v>
      </c>
      <c r="J27" s="2" t="s">
        <v>14</v>
      </c>
      <c r="K27" s="2" t="s">
        <v>11</v>
      </c>
      <c r="L27" s="2" t="s">
        <v>12</v>
      </c>
      <c r="M27" s="2" t="s">
        <v>13</v>
      </c>
      <c r="N27" s="2" t="s">
        <v>14</v>
      </c>
      <c r="O27" s="2" t="s">
        <v>11</v>
      </c>
      <c r="P27" s="2" t="s">
        <v>11</v>
      </c>
      <c r="Q27" s="2" t="s">
        <v>14</v>
      </c>
      <c r="R27" s="2" t="s">
        <v>13</v>
      </c>
      <c r="S27" s="2" t="s">
        <v>12</v>
      </c>
      <c r="T27" s="2" t="s">
        <v>11</v>
      </c>
      <c r="U27" s="2" t="s">
        <v>12</v>
      </c>
      <c r="V27" s="2" t="s">
        <v>14</v>
      </c>
      <c r="W27" s="2" t="s">
        <v>13</v>
      </c>
      <c r="X27" s="2" t="s">
        <v>11</v>
      </c>
      <c r="Y27" s="2" t="s">
        <v>14</v>
      </c>
      <c r="Z27" s="2" t="s">
        <v>13</v>
      </c>
      <c r="AA27" s="2" t="s">
        <v>12</v>
      </c>
      <c r="AB27" s="2" t="s">
        <v>12</v>
      </c>
      <c r="AC27" s="2" t="s">
        <v>13</v>
      </c>
      <c r="AD27" s="2" t="s">
        <v>11</v>
      </c>
      <c r="AE27" s="2" t="s">
        <v>14</v>
      </c>
      <c r="AF27" s="2" t="s">
        <v>14</v>
      </c>
      <c r="AG27" s="2" t="s">
        <v>11</v>
      </c>
      <c r="AH27" s="2" t="s">
        <v>13</v>
      </c>
      <c r="AI27" s="2" t="s">
        <v>12</v>
      </c>
      <c r="AJ27" s="2" t="s">
        <v>13</v>
      </c>
      <c r="AK27" s="2" t="s">
        <v>12</v>
      </c>
      <c r="AL27" s="2" t="s">
        <v>11</v>
      </c>
      <c r="AM27" s="2" t="s">
        <v>14</v>
      </c>
      <c r="AN27" s="2" t="s">
        <v>12</v>
      </c>
      <c r="AO27" s="2" t="s">
        <v>14</v>
      </c>
      <c r="AP27" s="2" t="s">
        <v>11</v>
      </c>
      <c r="AQ27" s="2" t="s">
        <v>13</v>
      </c>
      <c r="AR27" s="2" t="s">
        <v>14</v>
      </c>
      <c r="AS27" s="2" t="s">
        <v>11</v>
      </c>
      <c r="AT27" s="2" t="s">
        <v>13</v>
      </c>
      <c r="AU27" s="2" t="s">
        <v>13</v>
      </c>
      <c r="AV27" s="2" t="s">
        <v>11</v>
      </c>
      <c r="AW27" s="2" t="s">
        <v>14</v>
      </c>
      <c r="AX27" s="2" t="s">
        <v>14</v>
      </c>
      <c r="AY27" s="2" t="s">
        <v>11</v>
      </c>
      <c r="AZ27" s="2" t="s">
        <v>13</v>
      </c>
      <c r="BA27" s="2" t="s">
        <v>11</v>
      </c>
      <c r="BB27" s="2" t="s">
        <v>13</v>
      </c>
      <c r="BC27" s="2" t="s">
        <v>14</v>
      </c>
      <c r="BD27" s="2" t="s">
        <v>14</v>
      </c>
      <c r="BE27" s="2" t="s">
        <v>13</v>
      </c>
      <c r="BF27" s="2" t="s">
        <v>11</v>
      </c>
      <c r="BG27" s="2" t="s">
        <v>11</v>
      </c>
      <c r="BH27" s="2" t="s">
        <v>14</v>
      </c>
      <c r="BI27" s="2" t="s">
        <v>13</v>
      </c>
      <c r="BJ27" s="2" t="s">
        <v>13</v>
      </c>
      <c r="BK27" s="2" t="s">
        <v>11</v>
      </c>
      <c r="BL27" s="2" t="s">
        <v>14</v>
      </c>
      <c r="BM27" s="2" t="s">
        <v>11</v>
      </c>
      <c r="BN27" s="2" t="s">
        <v>13</v>
      </c>
      <c r="BO27" s="2" t="s">
        <v>14</v>
      </c>
      <c r="BP27" s="2" t="s">
        <v>11</v>
      </c>
      <c r="BQ27" s="2" t="s">
        <v>14</v>
      </c>
      <c r="BR27" s="2" t="s">
        <v>13</v>
      </c>
      <c r="BS27" s="2" t="s">
        <v>11</v>
      </c>
      <c r="BT27" s="2" t="s">
        <v>13</v>
      </c>
      <c r="BU27" s="2" t="s">
        <v>14</v>
      </c>
      <c r="BV27" s="2" t="s">
        <v>30</v>
      </c>
      <c r="BW27" s="2"/>
    </row>
    <row r="28" spans="1:75" x14ac:dyDescent="0.3">
      <c r="A28" s="1">
        <v>46147.554826388892</v>
      </c>
      <c r="B28" s="2" t="s">
        <v>23</v>
      </c>
      <c r="C28" s="2" t="s">
        <v>10</v>
      </c>
      <c r="D28" s="2" t="s">
        <v>13</v>
      </c>
      <c r="E28" s="2" t="s">
        <v>11</v>
      </c>
      <c r="F28" s="2" t="s">
        <v>12</v>
      </c>
      <c r="G28" s="2" t="s">
        <v>14</v>
      </c>
      <c r="H28" s="2" t="s">
        <v>11</v>
      </c>
      <c r="I28" s="2" t="s">
        <v>12</v>
      </c>
      <c r="J28" s="2" t="s">
        <v>14</v>
      </c>
      <c r="K28" s="2" t="s">
        <v>13</v>
      </c>
      <c r="L28" s="2" t="s">
        <v>12</v>
      </c>
      <c r="M28" s="2" t="s">
        <v>11</v>
      </c>
      <c r="N28" s="2" t="s">
        <v>13</v>
      </c>
      <c r="O28" s="2" t="s">
        <v>14</v>
      </c>
      <c r="P28" s="2" t="s">
        <v>14</v>
      </c>
      <c r="Q28" s="2" t="s">
        <v>11</v>
      </c>
      <c r="R28" s="2" t="s">
        <v>12</v>
      </c>
      <c r="S28" s="2" t="s">
        <v>13</v>
      </c>
      <c r="T28" s="2" t="s">
        <v>13</v>
      </c>
      <c r="U28" s="2" t="s">
        <v>11</v>
      </c>
      <c r="V28" s="2" t="s">
        <v>14</v>
      </c>
      <c r="W28" s="2" t="s">
        <v>12</v>
      </c>
      <c r="X28" s="2" t="s">
        <v>13</v>
      </c>
      <c r="Y28" s="2" t="s">
        <v>12</v>
      </c>
      <c r="Z28" s="2" t="s">
        <v>11</v>
      </c>
      <c r="AA28" s="2" t="s">
        <v>14</v>
      </c>
      <c r="AB28" s="2" t="s">
        <v>12</v>
      </c>
      <c r="AC28" s="2" t="s">
        <v>13</v>
      </c>
      <c r="AD28" s="2" t="s">
        <v>11</v>
      </c>
      <c r="AE28" s="2" t="s">
        <v>14</v>
      </c>
      <c r="AF28" s="2" t="s">
        <v>12</v>
      </c>
      <c r="AG28" s="2" t="s">
        <v>13</v>
      </c>
      <c r="AH28" s="2" t="s">
        <v>11</v>
      </c>
      <c r="AI28" s="2" t="s">
        <v>14</v>
      </c>
      <c r="AJ28" s="2" t="s">
        <v>14</v>
      </c>
      <c r="AK28" s="2" t="s">
        <v>11</v>
      </c>
      <c r="AL28" s="2" t="s">
        <v>13</v>
      </c>
      <c r="AM28" s="2" t="s">
        <v>12</v>
      </c>
      <c r="AN28" s="2" t="s">
        <v>11</v>
      </c>
      <c r="AO28" s="2" t="s">
        <v>12</v>
      </c>
      <c r="AP28" s="2" t="s">
        <v>13</v>
      </c>
      <c r="AQ28" s="2" t="s">
        <v>14</v>
      </c>
      <c r="AR28" s="2" t="s">
        <v>14</v>
      </c>
      <c r="AS28" s="2" t="s">
        <v>13</v>
      </c>
      <c r="AT28" s="2" t="s">
        <v>11</v>
      </c>
      <c r="AU28" s="2" t="s">
        <v>14</v>
      </c>
      <c r="AV28" s="2" t="s">
        <v>13</v>
      </c>
      <c r="AW28" s="2" t="s">
        <v>11</v>
      </c>
      <c r="AX28" s="2" t="s">
        <v>11</v>
      </c>
      <c r="AY28" s="2" t="s">
        <v>14</v>
      </c>
      <c r="AZ28" s="2" t="s">
        <v>13</v>
      </c>
      <c r="BA28" s="2" t="s">
        <v>14</v>
      </c>
      <c r="BB28" s="2" t="s">
        <v>11</v>
      </c>
      <c r="BC28" s="2" t="s">
        <v>13</v>
      </c>
      <c r="BD28" s="2" t="s">
        <v>14</v>
      </c>
      <c r="BE28" s="2" t="s">
        <v>13</v>
      </c>
      <c r="BF28" s="2" t="s">
        <v>11</v>
      </c>
      <c r="BG28" s="2" t="s">
        <v>14</v>
      </c>
      <c r="BH28" s="2" t="s">
        <v>11</v>
      </c>
      <c r="BI28" s="2" t="s">
        <v>13</v>
      </c>
      <c r="BJ28" s="2" t="s">
        <v>14</v>
      </c>
      <c r="BK28" s="2" t="s">
        <v>13</v>
      </c>
      <c r="BL28" s="2" t="s">
        <v>11</v>
      </c>
      <c r="BM28" s="2" t="s">
        <v>14</v>
      </c>
      <c r="BN28" s="2" t="s">
        <v>11</v>
      </c>
      <c r="BO28" s="2" t="s">
        <v>13</v>
      </c>
      <c r="BP28" s="2" t="s">
        <v>14</v>
      </c>
      <c r="BQ28" s="2" t="s">
        <v>11</v>
      </c>
      <c r="BR28" s="2" t="s">
        <v>13</v>
      </c>
      <c r="BS28" s="2" t="s">
        <v>11</v>
      </c>
      <c r="BT28" s="2" t="s">
        <v>13</v>
      </c>
      <c r="BU28" s="2" t="s">
        <v>14</v>
      </c>
      <c r="BV28" s="2" t="s">
        <v>31</v>
      </c>
      <c r="BW28" s="2"/>
    </row>
    <row r="29" spans="1:75" x14ac:dyDescent="0.3">
      <c r="A29" s="1">
        <v>46147.564421296294</v>
      </c>
      <c r="B29" s="2" t="s">
        <v>25</v>
      </c>
      <c r="C29" s="2" t="s">
        <v>10</v>
      </c>
      <c r="D29" s="2" t="s">
        <v>12</v>
      </c>
      <c r="E29" s="2" t="s">
        <v>11</v>
      </c>
      <c r="F29" s="2" t="s">
        <v>14</v>
      </c>
      <c r="G29" s="2" t="s">
        <v>13</v>
      </c>
      <c r="H29" s="2" t="s">
        <v>11</v>
      </c>
      <c r="I29" s="2" t="s">
        <v>14</v>
      </c>
      <c r="J29" s="2" t="s">
        <v>12</v>
      </c>
      <c r="K29" s="2" t="s">
        <v>13</v>
      </c>
      <c r="L29" s="2" t="s">
        <v>12</v>
      </c>
      <c r="M29" s="2" t="s">
        <v>14</v>
      </c>
      <c r="N29" s="2" t="s">
        <v>12</v>
      </c>
      <c r="O29" s="2" t="s">
        <v>13</v>
      </c>
      <c r="P29" s="2" t="s">
        <v>11</v>
      </c>
      <c r="Q29" s="2" t="s">
        <v>14</v>
      </c>
      <c r="R29" s="2" t="s">
        <v>13</v>
      </c>
      <c r="S29" s="2" t="s">
        <v>12</v>
      </c>
      <c r="T29" s="2" t="s">
        <v>12</v>
      </c>
      <c r="U29" s="2" t="s">
        <v>13</v>
      </c>
      <c r="V29" s="2" t="s">
        <v>11</v>
      </c>
      <c r="W29" s="2" t="s">
        <v>14</v>
      </c>
      <c r="X29" s="2" t="s">
        <v>11</v>
      </c>
      <c r="Y29" s="2" t="s">
        <v>14</v>
      </c>
      <c r="Z29" s="2" t="s">
        <v>13</v>
      </c>
      <c r="AA29" s="2" t="s">
        <v>12</v>
      </c>
      <c r="AB29" s="2" t="s">
        <v>13</v>
      </c>
      <c r="AC29" s="2" t="s">
        <v>14</v>
      </c>
      <c r="AD29" s="2" t="s">
        <v>11</v>
      </c>
      <c r="AE29" s="2" t="s">
        <v>12</v>
      </c>
      <c r="AF29" s="2" t="s">
        <v>12</v>
      </c>
      <c r="AG29" s="2" t="s">
        <v>11</v>
      </c>
      <c r="AH29" s="2" t="s">
        <v>14</v>
      </c>
      <c r="AI29" s="2" t="s">
        <v>12</v>
      </c>
      <c r="AJ29" s="2" t="s">
        <v>12</v>
      </c>
      <c r="AK29" s="2" t="s">
        <v>13</v>
      </c>
      <c r="AL29" s="2" t="s">
        <v>11</v>
      </c>
      <c r="AM29" s="2" t="s">
        <v>14</v>
      </c>
      <c r="AN29" s="2" t="s">
        <v>13</v>
      </c>
      <c r="AO29" s="2" t="s">
        <v>14</v>
      </c>
      <c r="AP29" s="2" t="s">
        <v>11</v>
      </c>
      <c r="AQ29" s="2" t="s">
        <v>12</v>
      </c>
      <c r="AR29" s="2" t="s">
        <v>14</v>
      </c>
      <c r="AS29" s="2" t="s">
        <v>13</v>
      </c>
      <c r="AT29" s="2" t="s">
        <v>11</v>
      </c>
      <c r="AU29" s="2" t="s">
        <v>11</v>
      </c>
      <c r="AV29" s="2" t="s">
        <v>13</v>
      </c>
      <c r="AW29" s="2" t="s">
        <v>14</v>
      </c>
      <c r="AX29" s="2" t="s">
        <v>11</v>
      </c>
      <c r="AY29" s="2" t="s">
        <v>14</v>
      </c>
      <c r="AZ29" s="2" t="s">
        <v>13</v>
      </c>
      <c r="BA29" s="2" t="s">
        <v>11</v>
      </c>
      <c r="BB29" s="2" t="s">
        <v>13</v>
      </c>
      <c r="BC29" s="2" t="s">
        <v>14</v>
      </c>
      <c r="BD29" s="2" t="s">
        <v>14</v>
      </c>
      <c r="BE29" s="2" t="s">
        <v>13</v>
      </c>
      <c r="BF29" s="2" t="s">
        <v>11</v>
      </c>
      <c r="BG29" s="2" t="s">
        <v>11</v>
      </c>
      <c r="BH29" s="2" t="s">
        <v>14</v>
      </c>
      <c r="BI29" s="2" t="s">
        <v>13</v>
      </c>
      <c r="BJ29" s="2" t="s">
        <v>14</v>
      </c>
      <c r="BK29" s="2" t="s">
        <v>11</v>
      </c>
      <c r="BL29" s="2" t="s">
        <v>13</v>
      </c>
      <c r="BM29" s="2" t="s">
        <v>14</v>
      </c>
      <c r="BN29" s="2" t="s">
        <v>11</v>
      </c>
      <c r="BO29" s="2" t="s">
        <v>13</v>
      </c>
      <c r="BP29" s="2" t="s">
        <v>11</v>
      </c>
      <c r="BQ29" s="2" t="s">
        <v>14</v>
      </c>
      <c r="BR29" s="2" t="s">
        <v>13</v>
      </c>
      <c r="BS29" s="2" t="s">
        <v>13</v>
      </c>
      <c r="BT29" s="2" t="s">
        <v>11</v>
      </c>
      <c r="BU29" s="2" t="s">
        <v>14</v>
      </c>
      <c r="BV29" s="2" t="s">
        <v>32</v>
      </c>
      <c r="BW29" s="2"/>
    </row>
    <row r="30" spans="1:75" x14ac:dyDescent="0.3">
      <c r="A30" s="1">
        <v>46147.571493055555</v>
      </c>
      <c r="B30" s="2" t="s">
        <v>23</v>
      </c>
      <c r="C30" s="2" t="s">
        <v>10</v>
      </c>
      <c r="D30" s="2" t="s">
        <v>13</v>
      </c>
      <c r="E30" s="2" t="s">
        <v>12</v>
      </c>
      <c r="F30" s="2" t="s">
        <v>14</v>
      </c>
      <c r="G30" s="2" t="s">
        <v>11</v>
      </c>
      <c r="H30" s="2" t="s">
        <v>11</v>
      </c>
      <c r="I30" s="2" t="s">
        <v>14</v>
      </c>
      <c r="J30" s="2" t="s">
        <v>12</v>
      </c>
      <c r="K30" s="2" t="s">
        <v>13</v>
      </c>
      <c r="L30" s="2" t="s">
        <v>13</v>
      </c>
      <c r="M30" s="2" t="s">
        <v>14</v>
      </c>
      <c r="N30" s="2" t="s">
        <v>12</v>
      </c>
      <c r="O30" s="2" t="s">
        <v>11</v>
      </c>
      <c r="P30" s="2" t="s">
        <v>11</v>
      </c>
      <c r="Q30" s="2" t="s">
        <v>12</v>
      </c>
      <c r="R30" s="2" t="s">
        <v>13</v>
      </c>
      <c r="S30" s="2" t="s">
        <v>14</v>
      </c>
      <c r="T30" s="2" t="s">
        <v>11</v>
      </c>
      <c r="U30" s="2" t="s">
        <v>12</v>
      </c>
      <c r="V30" s="2" t="s">
        <v>13</v>
      </c>
      <c r="W30" s="2" t="s">
        <v>14</v>
      </c>
      <c r="X30" s="2" t="s">
        <v>11</v>
      </c>
      <c r="Y30" s="2" t="s">
        <v>14</v>
      </c>
      <c r="Z30" s="2" t="s">
        <v>13</v>
      </c>
      <c r="AA30" s="2" t="s">
        <v>12</v>
      </c>
      <c r="AB30" s="2" t="s">
        <v>11</v>
      </c>
      <c r="AC30" s="2" t="s">
        <v>12</v>
      </c>
      <c r="AD30" s="2" t="s">
        <v>14</v>
      </c>
      <c r="AE30" s="2" t="s">
        <v>12</v>
      </c>
      <c r="AF30" s="2" t="s">
        <v>12</v>
      </c>
      <c r="AG30" s="2" t="s">
        <v>13</v>
      </c>
      <c r="AH30" s="2" t="s">
        <v>14</v>
      </c>
      <c r="AI30" s="2" t="s">
        <v>11</v>
      </c>
      <c r="AJ30" s="2" t="s">
        <v>13</v>
      </c>
      <c r="AK30" s="2" t="s">
        <v>12</v>
      </c>
      <c r="AL30" s="2" t="s">
        <v>11</v>
      </c>
      <c r="AM30" s="2" t="s">
        <v>14</v>
      </c>
      <c r="AN30" s="2" t="s">
        <v>13</v>
      </c>
      <c r="AO30" s="2" t="s">
        <v>14</v>
      </c>
      <c r="AP30" s="2" t="s">
        <v>12</v>
      </c>
      <c r="AQ30" s="2" t="s">
        <v>11</v>
      </c>
      <c r="AR30" s="2" t="s">
        <v>14</v>
      </c>
      <c r="AS30" s="2" t="s">
        <v>13</v>
      </c>
      <c r="AT30" s="2" t="s">
        <v>11</v>
      </c>
      <c r="AU30" s="2" t="s">
        <v>13</v>
      </c>
      <c r="AV30" s="2" t="s">
        <v>11</v>
      </c>
      <c r="AW30" s="2" t="s">
        <v>14</v>
      </c>
      <c r="AX30" s="2" t="s">
        <v>13</v>
      </c>
      <c r="AY30" s="2" t="s">
        <v>11</v>
      </c>
      <c r="AZ30" s="2" t="s">
        <v>14</v>
      </c>
      <c r="BA30" s="2" t="s">
        <v>14</v>
      </c>
      <c r="BB30" s="2" t="s">
        <v>13</v>
      </c>
      <c r="BC30" s="2" t="s">
        <v>11</v>
      </c>
      <c r="BD30" s="2" t="s">
        <v>13</v>
      </c>
      <c r="BE30" s="2" t="s">
        <v>14</v>
      </c>
      <c r="BF30" s="2" t="s">
        <v>11</v>
      </c>
      <c r="BG30" s="2" t="s">
        <v>13</v>
      </c>
      <c r="BH30" s="2" t="s">
        <v>14</v>
      </c>
      <c r="BI30" s="2" t="s">
        <v>11</v>
      </c>
      <c r="BJ30" s="2" t="s">
        <v>14</v>
      </c>
      <c r="BK30" s="2" t="s">
        <v>11</v>
      </c>
      <c r="BL30" s="2" t="s">
        <v>13</v>
      </c>
      <c r="BM30" s="2" t="s">
        <v>14</v>
      </c>
      <c r="BN30" s="2" t="s">
        <v>11</v>
      </c>
      <c r="BO30" s="2" t="s">
        <v>13</v>
      </c>
      <c r="BP30" s="2" t="s">
        <v>14</v>
      </c>
      <c r="BQ30" s="2" t="s">
        <v>13</v>
      </c>
      <c r="BR30" s="2" t="s">
        <v>11</v>
      </c>
      <c r="BS30" s="2" t="s">
        <v>13</v>
      </c>
      <c r="BT30" s="2" t="s">
        <v>11</v>
      </c>
      <c r="BU30" s="2" t="s">
        <v>14</v>
      </c>
      <c r="BV30" s="2" t="s">
        <v>33</v>
      </c>
      <c r="BW30" s="2"/>
    </row>
    <row r="31" spans="1:75" x14ac:dyDescent="0.3">
      <c r="A31" s="1">
        <v>46147.842650462961</v>
      </c>
      <c r="B31" s="2" t="s">
        <v>25</v>
      </c>
      <c r="C31" s="2" t="s">
        <v>16</v>
      </c>
      <c r="D31" s="2" t="s">
        <v>11</v>
      </c>
      <c r="E31" s="2" t="s">
        <v>12</v>
      </c>
      <c r="F31" s="2" t="s">
        <v>13</v>
      </c>
      <c r="G31" s="2" t="s">
        <v>14</v>
      </c>
      <c r="H31" s="2" t="s">
        <v>13</v>
      </c>
      <c r="I31" s="2" t="s">
        <v>14</v>
      </c>
      <c r="J31" s="2" t="s">
        <v>12</v>
      </c>
      <c r="K31" s="2" t="s">
        <v>11</v>
      </c>
      <c r="L31" s="2" t="s">
        <v>12</v>
      </c>
      <c r="M31" s="2" t="s">
        <v>11</v>
      </c>
      <c r="N31" s="2" t="s">
        <v>14</v>
      </c>
      <c r="O31" s="2" t="s">
        <v>13</v>
      </c>
      <c r="P31" s="2" t="s">
        <v>11</v>
      </c>
      <c r="Q31" s="2" t="s">
        <v>12</v>
      </c>
      <c r="R31" s="2" t="s">
        <v>13</v>
      </c>
      <c r="S31" s="2" t="s">
        <v>14</v>
      </c>
      <c r="T31" s="2" t="s">
        <v>11</v>
      </c>
      <c r="U31" s="2" t="s">
        <v>12</v>
      </c>
      <c r="V31" s="2" t="s">
        <v>13</v>
      </c>
      <c r="W31" s="2" t="s">
        <v>14</v>
      </c>
      <c r="X31" s="2" t="s">
        <v>11</v>
      </c>
      <c r="Y31" s="2" t="s">
        <v>13</v>
      </c>
      <c r="Z31" s="2" t="s">
        <v>12</v>
      </c>
      <c r="AA31" s="2" t="s">
        <v>14</v>
      </c>
      <c r="AB31" s="2" t="s">
        <v>14</v>
      </c>
      <c r="AC31" s="2" t="s">
        <v>11</v>
      </c>
      <c r="AD31" s="2" t="s">
        <v>13</v>
      </c>
      <c r="AE31" s="2" t="s">
        <v>12</v>
      </c>
      <c r="AF31" s="2" t="s">
        <v>14</v>
      </c>
      <c r="AG31" s="2" t="s">
        <v>11</v>
      </c>
      <c r="AH31" s="2" t="s">
        <v>12</v>
      </c>
      <c r="AI31" s="2" t="s">
        <v>13</v>
      </c>
      <c r="AJ31" s="2" t="s">
        <v>14</v>
      </c>
      <c r="AK31" s="2" t="s">
        <v>12</v>
      </c>
      <c r="AL31" s="2" t="s">
        <v>13</v>
      </c>
      <c r="AM31" s="2" t="s">
        <v>11</v>
      </c>
      <c r="AN31" s="2" t="s">
        <v>14</v>
      </c>
      <c r="AO31" s="2" t="s">
        <v>11</v>
      </c>
      <c r="AP31" s="2" t="s">
        <v>12</v>
      </c>
      <c r="AQ31" s="2" t="s">
        <v>13</v>
      </c>
      <c r="AR31" s="2" t="s">
        <v>14</v>
      </c>
      <c r="AS31" s="2" t="s">
        <v>13</v>
      </c>
      <c r="AT31" s="2" t="s">
        <v>11</v>
      </c>
      <c r="AU31" s="2" t="s">
        <v>14</v>
      </c>
      <c r="AV31" s="2" t="s">
        <v>13</v>
      </c>
      <c r="AW31" s="2" t="s">
        <v>11</v>
      </c>
      <c r="AX31" s="2" t="s">
        <v>11</v>
      </c>
      <c r="AY31" s="2" t="s">
        <v>13</v>
      </c>
      <c r="AZ31" s="2" t="s">
        <v>14</v>
      </c>
      <c r="BA31" s="2" t="s">
        <v>14</v>
      </c>
      <c r="BB31" s="2" t="s">
        <v>11</v>
      </c>
      <c r="BC31" s="2" t="s">
        <v>13</v>
      </c>
      <c r="BD31" s="2" t="s">
        <v>13</v>
      </c>
      <c r="BE31" s="2" t="s">
        <v>14</v>
      </c>
      <c r="BF31" s="2" t="s">
        <v>11</v>
      </c>
      <c r="BG31" s="2" t="s">
        <v>13</v>
      </c>
      <c r="BH31" s="2" t="s">
        <v>14</v>
      </c>
      <c r="BI31" s="2" t="s">
        <v>11</v>
      </c>
      <c r="BJ31" s="2" t="s">
        <v>14</v>
      </c>
      <c r="BK31" s="2" t="s">
        <v>11</v>
      </c>
      <c r="BL31" s="2" t="s">
        <v>13</v>
      </c>
      <c r="BM31" s="2" t="s">
        <v>14</v>
      </c>
      <c r="BN31" s="2" t="s">
        <v>11</v>
      </c>
      <c r="BO31" s="2" t="s">
        <v>13</v>
      </c>
      <c r="BP31" s="2" t="s">
        <v>11</v>
      </c>
      <c r="BQ31" s="2" t="s">
        <v>13</v>
      </c>
      <c r="BR31" s="2" t="s">
        <v>14</v>
      </c>
      <c r="BS31" s="2" t="s">
        <v>13</v>
      </c>
      <c r="BT31" s="2" t="s">
        <v>11</v>
      </c>
      <c r="BU31" s="2" t="s">
        <v>14</v>
      </c>
      <c r="BV31" s="2" t="s">
        <v>34</v>
      </c>
      <c r="BW31" s="2"/>
    </row>
    <row r="32" spans="1:75" x14ac:dyDescent="0.3">
      <c r="A32" s="1">
        <v>46147.853043981479</v>
      </c>
      <c r="B32" s="2" t="s">
        <v>17</v>
      </c>
      <c r="C32" s="2" t="s">
        <v>10</v>
      </c>
      <c r="D32" s="2" t="s">
        <v>13</v>
      </c>
      <c r="E32" s="2" t="s">
        <v>12</v>
      </c>
      <c r="F32" s="2" t="s">
        <v>14</v>
      </c>
      <c r="G32" s="2" t="s">
        <v>11</v>
      </c>
      <c r="H32" s="2" t="s">
        <v>13</v>
      </c>
      <c r="I32" s="2" t="s">
        <v>14</v>
      </c>
      <c r="J32" s="2" t="s">
        <v>12</v>
      </c>
      <c r="K32" s="2" t="s">
        <v>11</v>
      </c>
      <c r="L32" s="2" t="s">
        <v>11</v>
      </c>
      <c r="M32" s="2" t="s">
        <v>12</v>
      </c>
      <c r="N32" s="2" t="s">
        <v>14</v>
      </c>
      <c r="O32" s="2" t="s">
        <v>13</v>
      </c>
      <c r="P32" s="2" t="s">
        <v>11</v>
      </c>
      <c r="Q32" s="2" t="s">
        <v>14</v>
      </c>
      <c r="R32" s="2" t="s">
        <v>13</v>
      </c>
      <c r="S32" s="2" t="s">
        <v>12</v>
      </c>
      <c r="T32" s="2" t="s">
        <v>11</v>
      </c>
      <c r="U32" s="2" t="s">
        <v>14</v>
      </c>
      <c r="V32" s="2" t="s">
        <v>13</v>
      </c>
      <c r="W32" s="2" t="s">
        <v>12</v>
      </c>
      <c r="X32" s="2" t="s">
        <v>14</v>
      </c>
      <c r="Y32" s="2" t="s">
        <v>11</v>
      </c>
      <c r="Z32" s="2" t="s">
        <v>12</v>
      </c>
      <c r="AA32" s="2" t="s">
        <v>13</v>
      </c>
      <c r="AB32" s="2" t="s">
        <v>13</v>
      </c>
      <c r="AC32" s="2" t="s">
        <v>12</v>
      </c>
      <c r="AD32" s="2" t="s">
        <v>11</v>
      </c>
      <c r="AE32" s="2" t="s">
        <v>14</v>
      </c>
      <c r="AF32" s="2" t="s">
        <v>14</v>
      </c>
      <c r="AG32" s="2" t="s">
        <v>13</v>
      </c>
      <c r="AH32" s="2" t="s">
        <v>12</v>
      </c>
      <c r="AI32" s="2" t="s">
        <v>11</v>
      </c>
      <c r="AJ32" s="2" t="s">
        <v>11</v>
      </c>
      <c r="AK32" s="2" t="s">
        <v>12</v>
      </c>
      <c r="AL32" s="2" t="s">
        <v>13</v>
      </c>
      <c r="AM32" s="2" t="s">
        <v>14</v>
      </c>
      <c r="AN32" s="2" t="s">
        <v>12</v>
      </c>
      <c r="AO32" s="2" t="s">
        <v>14</v>
      </c>
      <c r="AP32" s="2" t="s">
        <v>13</v>
      </c>
      <c r="AQ32" s="2" t="s">
        <v>11</v>
      </c>
      <c r="AR32" s="2" t="s">
        <v>14</v>
      </c>
      <c r="AS32" s="2" t="s">
        <v>13</v>
      </c>
      <c r="AT32" s="2" t="s">
        <v>11</v>
      </c>
      <c r="AU32" s="2" t="s">
        <v>13</v>
      </c>
      <c r="AV32" s="2" t="s">
        <v>11</v>
      </c>
      <c r="AW32" s="2" t="s">
        <v>14</v>
      </c>
      <c r="AX32" s="2" t="s">
        <v>13</v>
      </c>
      <c r="AY32" s="2" t="s">
        <v>11</v>
      </c>
      <c r="AZ32" s="2" t="s">
        <v>14</v>
      </c>
      <c r="BA32" s="2" t="s">
        <v>11</v>
      </c>
      <c r="BB32" s="2" t="s">
        <v>13</v>
      </c>
      <c r="BC32" s="2" t="s">
        <v>14</v>
      </c>
      <c r="BD32" s="2" t="s">
        <v>14</v>
      </c>
      <c r="BE32" s="2" t="s">
        <v>11</v>
      </c>
      <c r="BF32" s="2" t="s">
        <v>13</v>
      </c>
      <c r="BG32" s="2" t="s">
        <v>11</v>
      </c>
      <c r="BH32" s="2" t="s">
        <v>13</v>
      </c>
      <c r="BI32" s="2" t="s">
        <v>14</v>
      </c>
      <c r="BJ32" s="2" t="s">
        <v>14</v>
      </c>
      <c r="BK32" s="2" t="s">
        <v>11</v>
      </c>
      <c r="BL32" s="2" t="s">
        <v>13</v>
      </c>
      <c r="BM32" s="2" t="s">
        <v>14</v>
      </c>
      <c r="BN32" s="2" t="s">
        <v>11</v>
      </c>
      <c r="BO32" s="2" t="s">
        <v>13</v>
      </c>
      <c r="BP32" s="2" t="s">
        <v>11</v>
      </c>
      <c r="BQ32" s="2" t="s">
        <v>13</v>
      </c>
      <c r="BR32" s="2" t="s">
        <v>14</v>
      </c>
      <c r="BS32" s="2" t="s">
        <v>13</v>
      </c>
      <c r="BT32" s="2" t="s">
        <v>11</v>
      </c>
      <c r="BU32" s="2" t="s">
        <v>14</v>
      </c>
      <c r="BV32" s="2" t="s">
        <v>35</v>
      </c>
      <c r="BW32" s="2"/>
    </row>
    <row r="33" spans="1:75" x14ac:dyDescent="0.3">
      <c r="A33" s="1">
        <v>46147.873645833337</v>
      </c>
      <c r="B33" s="2" t="s">
        <v>25</v>
      </c>
      <c r="C33" s="2" t="s">
        <v>10</v>
      </c>
      <c r="D33" s="2" t="s">
        <v>14</v>
      </c>
      <c r="E33" s="2" t="s">
        <v>12</v>
      </c>
      <c r="F33" s="2" t="s">
        <v>13</v>
      </c>
      <c r="G33" s="2" t="s">
        <v>11</v>
      </c>
      <c r="H33" s="2" t="s">
        <v>13</v>
      </c>
      <c r="I33" s="2" t="s">
        <v>11</v>
      </c>
      <c r="J33" s="2" t="s">
        <v>14</v>
      </c>
      <c r="K33" s="2" t="s">
        <v>12</v>
      </c>
      <c r="L33" s="2" t="s">
        <v>11</v>
      </c>
      <c r="M33" s="2" t="s">
        <v>14</v>
      </c>
      <c r="N33" s="2" t="s">
        <v>13</v>
      </c>
      <c r="O33" s="2" t="s">
        <v>12</v>
      </c>
      <c r="P33" s="2" t="s">
        <v>14</v>
      </c>
      <c r="Q33" s="2" t="s">
        <v>13</v>
      </c>
      <c r="R33" s="2" t="s">
        <v>12</v>
      </c>
      <c r="S33" s="2" t="s">
        <v>11</v>
      </c>
      <c r="T33" s="2" t="s">
        <v>13</v>
      </c>
      <c r="U33" s="2" t="s">
        <v>12</v>
      </c>
      <c r="V33" s="2" t="s">
        <v>14</v>
      </c>
      <c r="W33" s="2" t="s">
        <v>11</v>
      </c>
      <c r="X33" s="2" t="s">
        <v>14</v>
      </c>
      <c r="Y33" s="2" t="s">
        <v>13</v>
      </c>
      <c r="Z33" s="2" t="s">
        <v>12</v>
      </c>
      <c r="AA33" s="2" t="s">
        <v>11</v>
      </c>
      <c r="AB33" s="2" t="s">
        <v>14</v>
      </c>
      <c r="AC33" s="2" t="s">
        <v>12</v>
      </c>
      <c r="AD33" s="2" t="s">
        <v>11</v>
      </c>
      <c r="AE33" s="2" t="s">
        <v>13</v>
      </c>
      <c r="AF33" s="2" t="s">
        <v>11</v>
      </c>
      <c r="AG33" s="2" t="s">
        <v>14</v>
      </c>
      <c r="AH33" s="2" t="s">
        <v>12</v>
      </c>
      <c r="AI33" s="2" t="s">
        <v>13</v>
      </c>
      <c r="AJ33" s="2" t="s">
        <v>13</v>
      </c>
      <c r="AK33" s="2" t="s">
        <v>12</v>
      </c>
      <c r="AL33" s="2" t="s">
        <v>14</v>
      </c>
      <c r="AM33" s="2" t="s">
        <v>11</v>
      </c>
      <c r="AN33" s="2" t="s">
        <v>11</v>
      </c>
      <c r="AO33" s="2" t="s">
        <v>14</v>
      </c>
      <c r="AP33" s="2" t="s">
        <v>12</v>
      </c>
      <c r="AQ33" s="2" t="s">
        <v>13</v>
      </c>
      <c r="AR33" s="2" t="s">
        <v>14</v>
      </c>
      <c r="AS33" s="2" t="s">
        <v>13</v>
      </c>
      <c r="AT33" s="2" t="s">
        <v>11</v>
      </c>
      <c r="AU33" s="2" t="s">
        <v>14</v>
      </c>
      <c r="AV33" s="2" t="s">
        <v>11</v>
      </c>
      <c r="AW33" s="2" t="s">
        <v>13</v>
      </c>
      <c r="AX33" s="2" t="s">
        <v>13</v>
      </c>
      <c r="AY33" s="2" t="s">
        <v>11</v>
      </c>
      <c r="AZ33" s="2" t="s">
        <v>14</v>
      </c>
      <c r="BA33" s="2" t="s">
        <v>11</v>
      </c>
      <c r="BB33" s="2" t="s">
        <v>13</v>
      </c>
      <c r="BC33" s="2" t="s">
        <v>14</v>
      </c>
      <c r="BD33" s="2" t="s">
        <v>11</v>
      </c>
      <c r="BE33" s="2" t="s">
        <v>14</v>
      </c>
      <c r="BF33" s="2" t="s">
        <v>13</v>
      </c>
      <c r="BG33" s="2" t="s">
        <v>11</v>
      </c>
      <c r="BH33" s="2" t="s">
        <v>13</v>
      </c>
      <c r="BI33" s="2" t="s">
        <v>14</v>
      </c>
      <c r="BJ33" s="2" t="s">
        <v>14</v>
      </c>
      <c r="BK33" s="2" t="s">
        <v>13</v>
      </c>
      <c r="BL33" s="2" t="s">
        <v>11</v>
      </c>
      <c r="BM33" s="2" t="s">
        <v>14</v>
      </c>
      <c r="BN33" s="2" t="s">
        <v>11</v>
      </c>
      <c r="BO33" s="2" t="s">
        <v>13</v>
      </c>
      <c r="BP33" s="2" t="s">
        <v>11</v>
      </c>
      <c r="BQ33" s="2" t="s">
        <v>14</v>
      </c>
      <c r="BR33" s="2" t="s">
        <v>13</v>
      </c>
      <c r="BS33" s="2" t="s">
        <v>11</v>
      </c>
      <c r="BT33" s="2" t="s">
        <v>13</v>
      </c>
      <c r="BU33" s="2" t="s">
        <v>14</v>
      </c>
      <c r="BV33" s="2" t="s">
        <v>36</v>
      </c>
      <c r="BW33" s="2"/>
    </row>
    <row r="34" spans="1:75" x14ac:dyDescent="0.3">
      <c r="A34" s="1">
        <v>46147.878182870372</v>
      </c>
      <c r="B34" s="2" t="s">
        <v>25</v>
      </c>
      <c r="C34" s="2" t="s">
        <v>10</v>
      </c>
      <c r="D34" s="2" t="s">
        <v>12</v>
      </c>
      <c r="E34" s="2" t="s">
        <v>11</v>
      </c>
      <c r="F34" s="2" t="s">
        <v>14</v>
      </c>
      <c r="G34" s="2" t="s">
        <v>13</v>
      </c>
      <c r="H34" s="2" t="s">
        <v>12</v>
      </c>
      <c r="I34" s="2" t="s">
        <v>13</v>
      </c>
      <c r="J34" s="2" t="s">
        <v>11</v>
      </c>
      <c r="K34" s="2" t="s">
        <v>14</v>
      </c>
      <c r="L34" s="2" t="s">
        <v>11</v>
      </c>
      <c r="M34" s="2" t="s">
        <v>12</v>
      </c>
      <c r="N34" s="2" t="s">
        <v>14</v>
      </c>
      <c r="O34" s="2" t="s">
        <v>13</v>
      </c>
      <c r="P34" s="2" t="s">
        <v>12</v>
      </c>
      <c r="Q34" s="2" t="s">
        <v>14</v>
      </c>
      <c r="R34" s="2" t="s">
        <v>13</v>
      </c>
      <c r="S34" s="2" t="s">
        <v>11</v>
      </c>
      <c r="T34" s="2" t="s">
        <v>11</v>
      </c>
      <c r="U34" s="2" t="s">
        <v>13</v>
      </c>
      <c r="V34" s="2" t="s">
        <v>14</v>
      </c>
      <c r="W34" s="2" t="s">
        <v>12</v>
      </c>
      <c r="X34" s="2" t="s">
        <v>13</v>
      </c>
      <c r="Y34" s="2" t="s">
        <v>14</v>
      </c>
      <c r="Z34" s="2" t="s">
        <v>11</v>
      </c>
      <c r="AA34" s="2" t="s">
        <v>12</v>
      </c>
      <c r="AB34" s="2" t="s">
        <v>11</v>
      </c>
      <c r="AC34" s="2" t="s">
        <v>12</v>
      </c>
      <c r="AD34" s="2" t="s">
        <v>14</v>
      </c>
      <c r="AE34" s="2" t="s">
        <v>13</v>
      </c>
      <c r="AF34" s="2" t="s">
        <v>11</v>
      </c>
      <c r="AG34" s="2" t="s">
        <v>13</v>
      </c>
      <c r="AH34" s="2" t="s">
        <v>14</v>
      </c>
      <c r="AI34" s="2" t="s">
        <v>12</v>
      </c>
      <c r="AJ34" s="2" t="s">
        <v>11</v>
      </c>
      <c r="AK34" s="2" t="s">
        <v>13</v>
      </c>
      <c r="AL34" s="2" t="s">
        <v>14</v>
      </c>
      <c r="AM34" s="2" t="s">
        <v>12</v>
      </c>
      <c r="AN34" s="2" t="s">
        <v>11</v>
      </c>
      <c r="AO34" s="2" t="s">
        <v>12</v>
      </c>
      <c r="AP34" s="2" t="s">
        <v>14</v>
      </c>
      <c r="AQ34" s="2" t="s">
        <v>13</v>
      </c>
      <c r="AR34" s="2" t="s">
        <v>13</v>
      </c>
      <c r="AS34" s="2" t="s">
        <v>11</v>
      </c>
      <c r="AT34" s="2" t="s">
        <v>14</v>
      </c>
      <c r="AU34" s="2" t="s">
        <v>11</v>
      </c>
      <c r="AV34" s="2" t="s">
        <v>13</v>
      </c>
      <c r="AW34" s="2" t="s">
        <v>14</v>
      </c>
      <c r="AX34" s="2" t="s">
        <v>11</v>
      </c>
      <c r="AY34" s="2" t="s">
        <v>13</v>
      </c>
      <c r="AZ34" s="2" t="s">
        <v>14</v>
      </c>
      <c r="BA34" s="2" t="s">
        <v>11</v>
      </c>
      <c r="BB34" s="2" t="s">
        <v>13</v>
      </c>
      <c r="BC34" s="2" t="s">
        <v>14</v>
      </c>
      <c r="BD34" s="2" t="s">
        <v>11</v>
      </c>
      <c r="BE34" s="2" t="s">
        <v>13</v>
      </c>
      <c r="BF34" s="2" t="s">
        <v>14</v>
      </c>
      <c r="BG34" s="2" t="s">
        <v>11</v>
      </c>
      <c r="BH34" s="2" t="s">
        <v>13</v>
      </c>
      <c r="BI34" s="2" t="s">
        <v>14</v>
      </c>
      <c r="BJ34" s="2" t="s">
        <v>11</v>
      </c>
      <c r="BK34" s="2" t="s">
        <v>13</v>
      </c>
      <c r="BL34" s="2" t="s">
        <v>14</v>
      </c>
      <c r="BM34" s="2" t="s">
        <v>11</v>
      </c>
      <c r="BN34" s="2" t="s">
        <v>13</v>
      </c>
      <c r="BO34" s="2" t="s">
        <v>14</v>
      </c>
      <c r="BP34" s="2" t="s">
        <v>11</v>
      </c>
      <c r="BQ34" s="2" t="s">
        <v>13</v>
      </c>
      <c r="BR34" s="2" t="s">
        <v>14</v>
      </c>
      <c r="BS34" s="2" t="s">
        <v>11</v>
      </c>
      <c r="BT34" s="2" t="s">
        <v>13</v>
      </c>
      <c r="BU34" s="2" t="s">
        <v>14</v>
      </c>
      <c r="BV34" s="2" t="s">
        <v>37</v>
      </c>
      <c r="BW34" s="2"/>
    </row>
    <row r="35" spans="1:75" x14ac:dyDescent="0.3">
      <c r="A35" s="1">
        <v>46147.935752314814</v>
      </c>
      <c r="B35" s="2" t="s">
        <v>9</v>
      </c>
      <c r="C35" s="2" t="s">
        <v>15</v>
      </c>
      <c r="D35" s="2" t="s">
        <v>13</v>
      </c>
      <c r="E35" s="2" t="s">
        <v>12</v>
      </c>
      <c r="F35" s="2" t="s">
        <v>11</v>
      </c>
      <c r="G35" s="2" t="s">
        <v>14</v>
      </c>
      <c r="H35" s="2" t="s">
        <v>13</v>
      </c>
      <c r="I35" s="2" t="s">
        <v>14</v>
      </c>
      <c r="J35" s="2" t="s">
        <v>12</v>
      </c>
      <c r="K35" s="2" t="s">
        <v>11</v>
      </c>
      <c r="L35" s="2" t="s">
        <v>13</v>
      </c>
      <c r="M35" s="2" t="s">
        <v>12</v>
      </c>
      <c r="N35" s="2" t="s">
        <v>11</v>
      </c>
      <c r="O35" s="2" t="s">
        <v>14</v>
      </c>
      <c r="P35" s="2" t="s">
        <v>11</v>
      </c>
      <c r="Q35" s="2" t="s">
        <v>12</v>
      </c>
      <c r="R35" s="2" t="s">
        <v>13</v>
      </c>
      <c r="S35" s="2" t="s">
        <v>14</v>
      </c>
      <c r="T35" s="2" t="s">
        <v>11</v>
      </c>
      <c r="U35" s="2" t="s">
        <v>14</v>
      </c>
      <c r="V35" s="2" t="s">
        <v>13</v>
      </c>
      <c r="W35" s="2" t="s">
        <v>12</v>
      </c>
      <c r="X35" s="2" t="s">
        <v>11</v>
      </c>
      <c r="Y35" s="2" t="s">
        <v>13</v>
      </c>
      <c r="Z35" s="2" t="s">
        <v>12</v>
      </c>
      <c r="AA35" s="2" t="s">
        <v>14</v>
      </c>
      <c r="AB35" s="2" t="s">
        <v>13</v>
      </c>
      <c r="AC35" s="2" t="s">
        <v>14</v>
      </c>
      <c r="AD35" s="2" t="s">
        <v>11</v>
      </c>
      <c r="AE35" s="2" t="s">
        <v>12</v>
      </c>
      <c r="AF35" s="2" t="s">
        <v>14</v>
      </c>
      <c r="AG35" s="2" t="s">
        <v>13</v>
      </c>
      <c r="AH35" s="2" t="s">
        <v>12</v>
      </c>
      <c r="AI35" s="2" t="s">
        <v>11</v>
      </c>
      <c r="AJ35" s="2" t="s">
        <v>13</v>
      </c>
      <c r="AK35" s="2" t="s">
        <v>12</v>
      </c>
      <c r="AL35" s="2" t="s">
        <v>14</v>
      </c>
      <c r="AM35" s="2" t="s">
        <v>11</v>
      </c>
      <c r="AN35" s="2" t="s">
        <v>13</v>
      </c>
      <c r="AO35" s="2" t="s">
        <v>11</v>
      </c>
      <c r="AP35" s="2" t="s">
        <v>14</v>
      </c>
      <c r="AQ35" s="2" t="s">
        <v>12</v>
      </c>
      <c r="AR35" s="2" t="s">
        <v>14</v>
      </c>
      <c r="AS35" s="2" t="s">
        <v>13</v>
      </c>
      <c r="AT35" s="2" t="s">
        <v>11</v>
      </c>
      <c r="AU35" s="2" t="s">
        <v>11</v>
      </c>
      <c r="AV35" s="2" t="s">
        <v>13</v>
      </c>
      <c r="AW35" s="2" t="s">
        <v>14</v>
      </c>
      <c r="AX35" s="2" t="s">
        <v>13</v>
      </c>
      <c r="AY35" s="2" t="s">
        <v>11</v>
      </c>
      <c r="AZ35" s="2" t="s">
        <v>14</v>
      </c>
      <c r="BA35" s="2" t="s">
        <v>11</v>
      </c>
      <c r="BB35" s="2" t="s">
        <v>13</v>
      </c>
      <c r="BC35" s="2" t="s">
        <v>14</v>
      </c>
      <c r="BD35" s="2" t="s">
        <v>14</v>
      </c>
      <c r="BE35" s="2" t="s">
        <v>13</v>
      </c>
      <c r="BF35" s="2" t="s">
        <v>11</v>
      </c>
      <c r="BG35" s="2" t="s">
        <v>11</v>
      </c>
      <c r="BH35" s="2" t="s">
        <v>13</v>
      </c>
      <c r="BI35" s="2" t="s">
        <v>14</v>
      </c>
      <c r="BJ35" s="2" t="s">
        <v>13</v>
      </c>
      <c r="BK35" s="2" t="s">
        <v>11</v>
      </c>
      <c r="BL35" s="2" t="s">
        <v>14</v>
      </c>
      <c r="BM35" s="2" t="s">
        <v>14</v>
      </c>
      <c r="BN35" s="2" t="s">
        <v>11</v>
      </c>
      <c r="BO35" s="2" t="s">
        <v>13</v>
      </c>
      <c r="BP35" s="2" t="s">
        <v>11</v>
      </c>
      <c r="BQ35" s="2" t="s">
        <v>13</v>
      </c>
      <c r="BR35" s="2" t="s">
        <v>14</v>
      </c>
      <c r="BS35" s="2" t="s">
        <v>13</v>
      </c>
      <c r="BT35" s="2" t="s">
        <v>14</v>
      </c>
      <c r="BU35" s="2" t="s">
        <v>11</v>
      </c>
      <c r="BV35" s="2" t="s">
        <v>38</v>
      </c>
      <c r="BW35" s="2"/>
    </row>
    <row r="36" spans="1:75" x14ac:dyDescent="0.3">
      <c r="A36" s="1">
        <v>46147.945625</v>
      </c>
      <c r="B36" s="2" t="s">
        <v>9</v>
      </c>
      <c r="C36" s="2" t="s">
        <v>10</v>
      </c>
      <c r="D36" s="2" t="s">
        <v>14</v>
      </c>
      <c r="E36" s="2" t="s">
        <v>11</v>
      </c>
      <c r="F36" s="2" t="s">
        <v>12</v>
      </c>
      <c r="G36" s="2" t="s">
        <v>13</v>
      </c>
      <c r="H36" s="2" t="s">
        <v>12</v>
      </c>
      <c r="I36" s="2" t="s">
        <v>13</v>
      </c>
      <c r="J36" s="2" t="s">
        <v>11</v>
      </c>
      <c r="K36" s="2" t="s">
        <v>14</v>
      </c>
      <c r="L36" s="2" t="s">
        <v>12</v>
      </c>
      <c r="M36" s="2" t="s">
        <v>13</v>
      </c>
      <c r="N36" s="2" t="s">
        <v>11</v>
      </c>
      <c r="O36" s="2" t="s">
        <v>14</v>
      </c>
      <c r="P36" s="2" t="s">
        <v>11</v>
      </c>
      <c r="Q36" s="2" t="s">
        <v>14</v>
      </c>
      <c r="R36" s="2" t="s">
        <v>13</v>
      </c>
      <c r="S36" s="2" t="s">
        <v>12</v>
      </c>
      <c r="T36" s="2" t="s">
        <v>11</v>
      </c>
      <c r="U36" s="2" t="s">
        <v>12</v>
      </c>
      <c r="V36" s="2" t="s">
        <v>13</v>
      </c>
      <c r="W36" s="2" t="s">
        <v>14</v>
      </c>
      <c r="X36" s="2" t="s">
        <v>11</v>
      </c>
      <c r="Y36" s="2" t="s">
        <v>12</v>
      </c>
      <c r="Z36" s="2" t="s">
        <v>14</v>
      </c>
      <c r="AA36" s="2" t="s">
        <v>13</v>
      </c>
      <c r="AB36" s="2" t="s">
        <v>13</v>
      </c>
      <c r="AC36" s="2" t="s">
        <v>14</v>
      </c>
      <c r="AD36" s="2" t="s">
        <v>11</v>
      </c>
      <c r="AE36" s="2" t="s">
        <v>12</v>
      </c>
      <c r="AF36" s="2" t="s">
        <v>13</v>
      </c>
      <c r="AG36" s="2" t="s">
        <v>11</v>
      </c>
      <c r="AH36" s="2" t="s">
        <v>12</v>
      </c>
      <c r="AI36" s="2" t="s">
        <v>14</v>
      </c>
      <c r="AJ36" s="2" t="s">
        <v>11</v>
      </c>
      <c r="AK36" s="2" t="s">
        <v>12</v>
      </c>
      <c r="AL36" s="2" t="s">
        <v>14</v>
      </c>
      <c r="AM36" s="2" t="s">
        <v>13</v>
      </c>
      <c r="AN36" s="2" t="s">
        <v>11</v>
      </c>
      <c r="AO36" s="2" t="s">
        <v>13</v>
      </c>
      <c r="AP36" s="2" t="s">
        <v>12</v>
      </c>
      <c r="AQ36" s="2" t="s">
        <v>14</v>
      </c>
      <c r="AR36" s="2" t="s">
        <v>13</v>
      </c>
      <c r="AS36" s="2" t="s">
        <v>14</v>
      </c>
      <c r="AT36" s="2" t="s">
        <v>11</v>
      </c>
      <c r="AU36" s="2" t="s">
        <v>14</v>
      </c>
      <c r="AV36" s="2" t="s">
        <v>11</v>
      </c>
      <c r="AW36" s="2" t="s">
        <v>13</v>
      </c>
      <c r="AX36" s="2" t="s">
        <v>13</v>
      </c>
      <c r="AY36" s="2" t="s">
        <v>11</v>
      </c>
      <c r="AZ36" s="2" t="s">
        <v>14</v>
      </c>
      <c r="BA36" s="2" t="s">
        <v>11</v>
      </c>
      <c r="BB36" s="2" t="s">
        <v>13</v>
      </c>
      <c r="BC36" s="2" t="s">
        <v>14</v>
      </c>
      <c r="BD36" s="2" t="s">
        <v>11</v>
      </c>
      <c r="BE36" s="2" t="s">
        <v>14</v>
      </c>
      <c r="BF36" s="2" t="s">
        <v>13</v>
      </c>
      <c r="BG36" s="2" t="s">
        <v>11</v>
      </c>
      <c r="BH36" s="2" t="s">
        <v>13</v>
      </c>
      <c r="BI36" s="2" t="s">
        <v>14</v>
      </c>
      <c r="BJ36" s="2" t="s">
        <v>14</v>
      </c>
      <c r="BK36" s="2" t="s">
        <v>13</v>
      </c>
      <c r="BL36" s="2" t="s">
        <v>11</v>
      </c>
      <c r="BM36" s="2" t="s">
        <v>13</v>
      </c>
      <c r="BN36" s="2" t="s">
        <v>11</v>
      </c>
      <c r="BO36" s="2" t="s">
        <v>14</v>
      </c>
      <c r="BP36" s="2" t="s">
        <v>11</v>
      </c>
      <c r="BQ36" s="2" t="s">
        <v>14</v>
      </c>
      <c r="BR36" s="2" t="s">
        <v>13</v>
      </c>
      <c r="BS36" s="2" t="s">
        <v>11</v>
      </c>
      <c r="BT36" s="2" t="s">
        <v>13</v>
      </c>
      <c r="BU36" s="2" t="s">
        <v>14</v>
      </c>
      <c r="BV36" s="2" t="s">
        <v>39</v>
      </c>
      <c r="BW36" s="2"/>
    </row>
    <row r="37" spans="1:75" x14ac:dyDescent="0.3">
      <c r="A37" s="1">
        <v>46150.46979166667</v>
      </c>
      <c r="B37" s="2" t="s">
        <v>23</v>
      </c>
      <c r="C37" s="2" t="s">
        <v>15</v>
      </c>
      <c r="D37" s="2" t="s">
        <v>13</v>
      </c>
      <c r="E37" s="2" t="s">
        <v>12</v>
      </c>
      <c r="F37" s="2" t="s">
        <v>14</v>
      </c>
      <c r="G37" s="2" t="s">
        <v>11</v>
      </c>
      <c r="H37" s="2" t="s">
        <v>11</v>
      </c>
      <c r="I37" s="2" t="s">
        <v>13</v>
      </c>
      <c r="J37" s="2" t="s">
        <v>14</v>
      </c>
      <c r="K37" s="2" t="s">
        <v>12</v>
      </c>
      <c r="L37" s="2" t="s">
        <v>11</v>
      </c>
      <c r="M37" s="2" t="s">
        <v>12</v>
      </c>
      <c r="N37" s="2" t="s">
        <v>13</v>
      </c>
      <c r="O37" s="2" t="s">
        <v>14</v>
      </c>
      <c r="P37" s="2" t="s">
        <v>11</v>
      </c>
      <c r="Q37" s="2" t="s">
        <v>12</v>
      </c>
      <c r="R37" s="2" t="s">
        <v>14</v>
      </c>
      <c r="S37" s="2" t="s">
        <v>13</v>
      </c>
      <c r="T37" s="2" t="s">
        <v>14</v>
      </c>
      <c r="U37" s="2" t="s">
        <v>12</v>
      </c>
      <c r="V37" s="2" t="s">
        <v>13</v>
      </c>
      <c r="W37" s="2" t="s">
        <v>11</v>
      </c>
      <c r="X37" s="2" t="s">
        <v>13</v>
      </c>
      <c r="Y37" s="2" t="s">
        <v>11</v>
      </c>
      <c r="Z37" s="2" t="s">
        <v>12</v>
      </c>
      <c r="AA37" s="2" t="s">
        <v>14</v>
      </c>
      <c r="AB37" s="2" t="s">
        <v>14</v>
      </c>
      <c r="AC37" s="2" t="s">
        <v>12</v>
      </c>
      <c r="AD37" s="2" t="s">
        <v>13</v>
      </c>
      <c r="AE37" s="2" t="s">
        <v>11</v>
      </c>
      <c r="AF37" s="2" t="s">
        <v>13</v>
      </c>
      <c r="AG37" s="2" t="s">
        <v>14</v>
      </c>
      <c r="AH37" s="2" t="s">
        <v>12</v>
      </c>
      <c r="AI37" s="2" t="s">
        <v>11</v>
      </c>
      <c r="AJ37" s="2" t="s">
        <v>11</v>
      </c>
      <c r="AK37" s="2" t="s">
        <v>12</v>
      </c>
      <c r="AL37" s="2" t="s">
        <v>14</v>
      </c>
      <c r="AM37" s="2" t="s">
        <v>13</v>
      </c>
      <c r="AN37" s="2" t="s">
        <v>11</v>
      </c>
      <c r="AO37" s="2" t="s">
        <v>12</v>
      </c>
      <c r="AP37" s="2" t="s">
        <v>14</v>
      </c>
      <c r="AQ37" s="2" t="s">
        <v>13</v>
      </c>
      <c r="AR37" s="2" t="s">
        <v>11</v>
      </c>
      <c r="AS37" s="2" t="s">
        <v>13</v>
      </c>
      <c r="AT37" s="2" t="s">
        <v>14</v>
      </c>
      <c r="AU37" s="2" t="s">
        <v>13</v>
      </c>
      <c r="AV37" s="2" t="s">
        <v>11</v>
      </c>
      <c r="AW37" s="2" t="s">
        <v>14</v>
      </c>
      <c r="AX37" s="2" t="s">
        <v>11</v>
      </c>
      <c r="AY37" s="2" t="s">
        <v>13</v>
      </c>
      <c r="AZ37" s="2" t="s">
        <v>14</v>
      </c>
      <c r="BA37" s="2" t="s">
        <v>13</v>
      </c>
      <c r="BB37" s="2" t="s">
        <v>11</v>
      </c>
      <c r="BC37" s="2" t="s">
        <v>14</v>
      </c>
      <c r="BD37" s="2" t="s">
        <v>11</v>
      </c>
      <c r="BE37" s="2" t="s">
        <v>13</v>
      </c>
      <c r="BF37" s="2" t="s">
        <v>14</v>
      </c>
      <c r="BG37" s="2" t="s">
        <v>11</v>
      </c>
      <c r="BH37" s="2" t="s">
        <v>13</v>
      </c>
      <c r="BI37" s="2" t="s">
        <v>14</v>
      </c>
      <c r="BJ37" s="2" t="s">
        <v>14</v>
      </c>
      <c r="BK37" s="2" t="s">
        <v>13</v>
      </c>
      <c r="BL37" s="2" t="s">
        <v>11</v>
      </c>
      <c r="BM37" s="2" t="s">
        <v>14</v>
      </c>
      <c r="BN37" s="2" t="s">
        <v>11</v>
      </c>
      <c r="BO37" s="2" t="s">
        <v>13</v>
      </c>
      <c r="BP37" s="2" t="s">
        <v>13</v>
      </c>
      <c r="BQ37" s="2" t="s">
        <v>11</v>
      </c>
      <c r="BR37" s="2" t="s">
        <v>14</v>
      </c>
      <c r="BS37" s="2" t="s">
        <v>13</v>
      </c>
      <c r="BT37" s="2" t="s">
        <v>11</v>
      </c>
      <c r="BU37" s="2" t="s">
        <v>14</v>
      </c>
      <c r="BV37" s="2" t="s">
        <v>40</v>
      </c>
      <c r="BW37" s="2"/>
    </row>
    <row r="38" spans="1:75" x14ac:dyDescent="0.3">
      <c r="A38" s="1">
        <v>46150.502314814818</v>
      </c>
      <c r="B38" s="2" t="s">
        <v>25</v>
      </c>
      <c r="C38" s="2" t="s">
        <v>15</v>
      </c>
      <c r="D38" s="2" t="s">
        <v>13</v>
      </c>
      <c r="E38" s="2" t="s">
        <v>12</v>
      </c>
      <c r="F38" s="2" t="s">
        <v>14</v>
      </c>
      <c r="G38" s="2" t="s">
        <v>11</v>
      </c>
      <c r="H38" s="2" t="s">
        <v>11</v>
      </c>
      <c r="I38" s="2" t="s">
        <v>13</v>
      </c>
      <c r="J38" s="2" t="s">
        <v>14</v>
      </c>
      <c r="K38" s="2" t="s">
        <v>12</v>
      </c>
      <c r="L38" s="2" t="s">
        <v>13</v>
      </c>
      <c r="M38" s="2" t="s">
        <v>14</v>
      </c>
      <c r="N38" s="2" t="s">
        <v>11</v>
      </c>
      <c r="O38" s="2" t="s">
        <v>12</v>
      </c>
      <c r="P38" s="2" t="s">
        <v>12</v>
      </c>
      <c r="Q38" s="2" t="s">
        <v>11</v>
      </c>
      <c r="R38" s="2" t="s">
        <v>14</v>
      </c>
      <c r="S38" s="2" t="s">
        <v>13</v>
      </c>
      <c r="T38" s="2" t="s">
        <v>11</v>
      </c>
      <c r="U38" s="2" t="s">
        <v>13</v>
      </c>
      <c r="V38" s="2" t="s">
        <v>12</v>
      </c>
      <c r="W38" s="2" t="s">
        <v>14</v>
      </c>
      <c r="X38" s="2" t="s">
        <v>11</v>
      </c>
      <c r="Y38" s="2" t="s">
        <v>14</v>
      </c>
      <c r="Z38" s="2" t="s">
        <v>13</v>
      </c>
      <c r="AA38" s="2" t="s">
        <v>12</v>
      </c>
      <c r="AB38" s="2" t="s">
        <v>14</v>
      </c>
      <c r="AC38" s="2" t="s">
        <v>11</v>
      </c>
      <c r="AD38" s="2" t="s">
        <v>13</v>
      </c>
      <c r="AE38" s="2" t="s">
        <v>12</v>
      </c>
      <c r="AF38" s="2" t="s">
        <v>13</v>
      </c>
      <c r="AG38" s="2" t="s">
        <v>11</v>
      </c>
      <c r="AH38" s="2" t="s">
        <v>14</v>
      </c>
      <c r="AI38" s="2" t="s">
        <v>12</v>
      </c>
      <c r="AJ38" s="2" t="s">
        <v>13</v>
      </c>
      <c r="AK38" s="2" t="s">
        <v>11</v>
      </c>
      <c r="AL38" s="2" t="s">
        <v>14</v>
      </c>
      <c r="AM38" s="2" t="s">
        <v>12</v>
      </c>
      <c r="AN38" s="2" t="s">
        <v>11</v>
      </c>
      <c r="AO38" s="2" t="s">
        <v>14</v>
      </c>
      <c r="AP38" s="2" t="s">
        <v>12</v>
      </c>
      <c r="AQ38" s="2" t="s">
        <v>13</v>
      </c>
      <c r="AR38" s="2" t="s">
        <v>13</v>
      </c>
      <c r="AS38" s="2" t="s">
        <v>14</v>
      </c>
      <c r="AT38" s="2" t="s">
        <v>11</v>
      </c>
      <c r="AU38" s="2" t="s">
        <v>11</v>
      </c>
      <c r="AV38" s="2" t="s">
        <v>14</v>
      </c>
      <c r="AW38" s="2" t="s">
        <v>13</v>
      </c>
      <c r="AX38" s="2" t="s">
        <v>13</v>
      </c>
      <c r="AY38" s="2" t="s">
        <v>11</v>
      </c>
      <c r="AZ38" s="2" t="s">
        <v>14</v>
      </c>
      <c r="BA38" s="2" t="s">
        <v>14</v>
      </c>
      <c r="BB38" s="2" t="s">
        <v>11</v>
      </c>
      <c r="BC38" s="2" t="s">
        <v>13</v>
      </c>
      <c r="BD38" s="2" t="s">
        <v>14</v>
      </c>
      <c r="BE38" s="2" t="s">
        <v>13</v>
      </c>
      <c r="BF38" s="2" t="s">
        <v>11</v>
      </c>
      <c r="BG38" s="2" t="s">
        <v>14</v>
      </c>
      <c r="BH38" s="2" t="s">
        <v>13</v>
      </c>
      <c r="BI38" s="2" t="s">
        <v>11</v>
      </c>
      <c r="BJ38" s="2" t="s">
        <v>14</v>
      </c>
      <c r="BK38" s="2" t="s">
        <v>13</v>
      </c>
      <c r="BL38" s="2" t="s">
        <v>11</v>
      </c>
      <c r="BM38" s="2" t="s">
        <v>14</v>
      </c>
      <c r="BN38" s="2" t="s">
        <v>13</v>
      </c>
      <c r="BO38" s="2" t="s">
        <v>11</v>
      </c>
      <c r="BP38" s="2" t="s">
        <v>14</v>
      </c>
      <c r="BQ38" s="2" t="s">
        <v>11</v>
      </c>
      <c r="BR38" s="2" t="s">
        <v>13</v>
      </c>
      <c r="BS38" s="2" t="s">
        <v>14</v>
      </c>
      <c r="BT38" s="2" t="s">
        <v>13</v>
      </c>
      <c r="BU38" s="2" t="s">
        <v>11</v>
      </c>
      <c r="BV38" s="2" t="s">
        <v>41</v>
      </c>
      <c r="BW38" s="2"/>
    </row>
    <row r="39" spans="1:75" x14ac:dyDescent="0.3">
      <c r="A39" s="1">
        <v>46150.508333333331</v>
      </c>
      <c r="B39" s="2" t="s">
        <v>25</v>
      </c>
      <c r="C39" s="2" t="s">
        <v>15</v>
      </c>
      <c r="D39" s="2" t="s">
        <v>13</v>
      </c>
      <c r="E39" s="2" t="s">
        <v>12</v>
      </c>
      <c r="F39" s="2" t="s">
        <v>11</v>
      </c>
      <c r="G39" s="2" t="s">
        <v>14</v>
      </c>
      <c r="H39" s="2" t="s">
        <v>11</v>
      </c>
      <c r="I39" s="2" t="s">
        <v>14</v>
      </c>
      <c r="J39" s="2" t="s">
        <v>12</v>
      </c>
      <c r="K39" s="2" t="s">
        <v>13</v>
      </c>
      <c r="L39" s="2" t="s">
        <v>12</v>
      </c>
      <c r="M39" s="2" t="s">
        <v>13</v>
      </c>
      <c r="N39" s="2" t="s">
        <v>14</v>
      </c>
      <c r="O39" s="2" t="s">
        <v>11</v>
      </c>
      <c r="P39" s="2" t="s">
        <v>11</v>
      </c>
      <c r="Q39" s="2" t="s">
        <v>12</v>
      </c>
      <c r="R39" s="2" t="s">
        <v>13</v>
      </c>
      <c r="S39" s="2" t="s">
        <v>14</v>
      </c>
      <c r="T39" s="2" t="s">
        <v>11</v>
      </c>
      <c r="U39" s="2" t="s">
        <v>12</v>
      </c>
      <c r="V39" s="2" t="s">
        <v>13</v>
      </c>
      <c r="W39" s="2" t="s">
        <v>14</v>
      </c>
      <c r="X39" s="2" t="s">
        <v>14</v>
      </c>
      <c r="Y39" s="2" t="s">
        <v>13</v>
      </c>
      <c r="Z39" s="2" t="s">
        <v>12</v>
      </c>
      <c r="AA39" s="2" t="s">
        <v>11</v>
      </c>
      <c r="AB39" s="2" t="s">
        <v>11</v>
      </c>
      <c r="AC39" s="2" t="s">
        <v>14</v>
      </c>
      <c r="AD39" s="2" t="s">
        <v>13</v>
      </c>
      <c r="AE39" s="2" t="s">
        <v>12</v>
      </c>
      <c r="AF39" s="2" t="s">
        <v>12</v>
      </c>
      <c r="AG39" s="2" t="s">
        <v>13</v>
      </c>
      <c r="AH39" s="2" t="s">
        <v>14</v>
      </c>
      <c r="AI39" s="2" t="s">
        <v>11</v>
      </c>
      <c r="AJ39" s="2" t="s">
        <v>11</v>
      </c>
      <c r="AK39" s="2" t="s">
        <v>12</v>
      </c>
      <c r="AL39" s="2" t="s">
        <v>14</v>
      </c>
      <c r="AM39" s="2" t="s">
        <v>13</v>
      </c>
      <c r="AN39" s="2" t="s">
        <v>11</v>
      </c>
      <c r="AO39" s="2" t="s">
        <v>14</v>
      </c>
      <c r="AP39" s="2" t="s">
        <v>12</v>
      </c>
      <c r="AQ39" s="2" t="s">
        <v>13</v>
      </c>
      <c r="AR39" s="2" t="s">
        <v>14</v>
      </c>
      <c r="AS39" s="2" t="s">
        <v>11</v>
      </c>
      <c r="AT39" s="2" t="s">
        <v>13</v>
      </c>
      <c r="AU39" s="2" t="s">
        <v>14</v>
      </c>
      <c r="AV39" s="2" t="s">
        <v>13</v>
      </c>
      <c r="AW39" s="2" t="s">
        <v>11</v>
      </c>
      <c r="AX39" s="2" t="s">
        <v>13</v>
      </c>
      <c r="AY39" s="2" t="s">
        <v>11</v>
      </c>
      <c r="AZ39" s="2" t="s">
        <v>14</v>
      </c>
      <c r="BA39" s="2" t="s">
        <v>11</v>
      </c>
      <c r="BB39" s="2" t="s">
        <v>13</v>
      </c>
      <c r="BC39" s="2" t="s">
        <v>14</v>
      </c>
      <c r="BD39" s="2" t="s">
        <v>14</v>
      </c>
      <c r="BE39" s="2" t="s">
        <v>11</v>
      </c>
      <c r="BF39" s="2" t="s">
        <v>13</v>
      </c>
      <c r="BG39" s="2" t="s">
        <v>11</v>
      </c>
      <c r="BH39" s="2" t="s">
        <v>14</v>
      </c>
      <c r="BI39" s="2" t="s">
        <v>13</v>
      </c>
      <c r="BJ39" s="2" t="s">
        <v>14</v>
      </c>
      <c r="BK39" s="2" t="s">
        <v>11</v>
      </c>
      <c r="BL39" s="2" t="s">
        <v>13</v>
      </c>
      <c r="BM39" s="2" t="s">
        <v>14</v>
      </c>
      <c r="BN39" s="2" t="s">
        <v>11</v>
      </c>
      <c r="BO39" s="2" t="s">
        <v>13</v>
      </c>
      <c r="BP39" s="2" t="s">
        <v>11</v>
      </c>
      <c r="BQ39" s="2" t="s">
        <v>13</v>
      </c>
      <c r="BR39" s="2" t="s">
        <v>14</v>
      </c>
      <c r="BS39" s="2" t="s">
        <v>11</v>
      </c>
      <c r="BT39" s="2" t="s">
        <v>13</v>
      </c>
      <c r="BU39" s="2" t="s">
        <v>14</v>
      </c>
      <c r="BV39" s="2" t="s">
        <v>42</v>
      </c>
      <c r="BW39" s="2"/>
    </row>
    <row r="40" spans="1:75" x14ac:dyDescent="0.3">
      <c r="A40" s="1">
        <v>46150.509571759256</v>
      </c>
      <c r="B40" s="2" t="s">
        <v>25</v>
      </c>
      <c r="C40" s="2" t="s">
        <v>10</v>
      </c>
      <c r="D40" s="2" t="s">
        <v>14</v>
      </c>
      <c r="E40" s="2" t="s">
        <v>13</v>
      </c>
      <c r="F40" s="2" t="s">
        <v>12</v>
      </c>
      <c r="G40" s="2" t="s">
        <v>11</v>
      </c>
      <c r="H40" s="2" t="s">
        <v>13</v>
      </c>
      <c r="I40" s="2" t="s">
        <v>12</v>
      </c>
      <c r="J40" s="2" t="s">
        <v>14</v>
      </c>
      <c r="K40" s="2" t="s">
        <v>11</v>
      </c>
      <c r="L40" s="2" t="s">
        <v>12</v>
      </c>
      <c r="M40" s="2" t="s">
        <v>14</v>
      </c>
      <c r="N40" s="2" t="s">
        <v>13</v>
      </c>
      <c r="O40" s="2" t="s">
        <v>11</v>
      </c>
      <c r="P40" s="2" t="s">
        <v>14</v>
      </c>
      <c r="Q40" s="2" t="s">
        <v>13</v>
      </c>
      <c r="R40" s="2" t="s">
        <v>11</v>
      </c>
      <c r="S40" s="2" t="s">
        <v>12</v>
      </c>
      <c r="T40" s="2" t="s">
        <v>14</v>
      </c>
      <c r="U40" s="2" t="s">
        <v>11</v>
      </c>
      <c r="V40" s="2" t="s">
        <v>12</v>
      </c>
      <c r="W40" s="2" t="s">
        <v>13</v>
      </c>
      <c r="X40" s="2" t="s">
        <v>13</v>
      </c>
      <c r="Y40" s="2" t="s">
        <v>14</v>
      </c>
      <c r="Z40" s="2" t="s">
        <v>11</v>
      </c>
      <c r="AA40" s="2" t="s">
        <v>12</v>
      </c>
      <c r="AB40" s="2" t="s">
        <v>14</v>
      </c>
      <c r="AC40" s="2" t="s">
        <v>11</v>
      </c>
      <c r="AD40" s="2" t="s">
        <v>12</v>
      </c>
      <c r="AE40" s="2" t="s">
        <v>13</v>
      </c>
      <c r="AF40" s="2" t="s">
        <v>14</v>
      </c>
      <c r="AG40" s="2" t="s">
        <v>13</v>
      </c>
      <c r="AH40" s="2" t="s">
        <v>11</v>
      </c>
      <c r="AI40" s="2" t="s">
        <v>12</v>
      </c>
      <c r="AJ40" s="2" t="s">
        <v>14</v>
      </c>
      <c r="AK40" s="2" t="s">
        <v>11</v>
      </c>
      <c r="AL40" s="2" t="s">
        <v>13</v>
      </c>
      <c r="AM40" s="2" t="s">
        <v>12</v>
      </c>
      <c r="AN40" s="2" t="s">
        <v>12</v>
      </c>
      <c r="AO40" s="2" t="s">
        <v>13</v>
      </c>
      <c r="AP40" s="2" t="s">
        <v>11</v>
      </c>
      <c r="AQ40" s="2" t="s">
        <v>14</v>
      </c>
      <c r="AR40" s="2" t="s">
        <v>14</v>
      </c>
      <c r="AS40" s="2" t="s">
        <v>11</v>
      </c>
      <c r="AT40" s="2" t="s">
        <v>13</v>
      </c>
      <c r="AU40" s="2" t="s">
        <v>14</v>
      </c>
      <c r="AV40" s="2" t="s">
        <v>11</v>
      </c>
      <c r="AW40" s="2" t="s">
        <v>13</v>
      </c>
      <c r="AX40" s="2" t="s">
        <v>13</v>
      </c>
      <c r="AY40" s="2" t="s">
        <v>14</v>
      </c>
      <c r="AZ40" s="2" t="s">
        <v>11</v>
      </c>
      <c r="BA40" s="2" t="s">
        <v>14</v>
      </c>
      <c r="BB40" s="2" t="s">
        <v>13</v>
      </c>
      <c r="BC40" s="2" t="s">
        <v>11</v>
      </c>
      <c r="BD40" s="2" t="s">
        <v>14</v>
      </c>
      <c r="BE40" s="2" t="s">
        <v>13</v>
      </c>
      <c r="BF40" s="2" t="s">
        <v>11</v>
      </c>
      <c r="BG40" s="2" t="s">
        <v>14</v>
      </c>
      <c r="BH40" s="2" t="s">
        <v>11</v>
      </c>
      <c r="BI40" s="2" t="s">
        <v>13</v>
      </c>
      <c r="BJ40" s="2" t="s">
        <v>14</v>
      </c>
      <c r="BK40" s="2" t="s">
        <v>13</v>
      </c>
      <c r="BL40" s="2" t="s">
        <v>11</v>
      </c>
      <c r="BM40" s="2" t="s">
        <v>14</v>
      </c>
      <c r="BN40" s="2" t="s">
        <v>13</v>
      </c>
      <c r="BO40" s="2" t="s">
        <v>11</v>
      </c>
      <c r="BP40" s="2" t="s">
        <v>14</v>
      </c>
      <c r="BQ40" s="2" t="s">
        <v>11</v>
      </c>
      <c r="BR40" s="2" t="s">
        <v>13</v>
      </c>
      <c r="BS40" s="2" t="s">
        <v>14</v>
      </c>
      <c r="BT40" s="2" t="s">
        <v>11</v>
      </c>
      <c r="BU40" s="2" t="s">
        <v>13</v>
      </c>
      <c r="BV40" s="2" t="s">
        <v>43</v>
      </c>
      <c r="BW40" s="2"/>
    </row>
    <row r="41" spans="1:75" x14ac:dyDescent="0.3">
      <c r="A41" s="1">
        <v>46150.521122685182</v>
      </c>
      <c r="B41" s="2" t="s">
        <v>25</v>
      </c>
      <c r="C41" s="2" t="s">
        <v>15</v>
      </c>
      <c r="D41" s="2" t="s">
        <v>14</v>
      </c>
      <c r="E41" s="2" t="s">
        <v>11</v>
      </c>
      <c r="F41" s="2" t="s">
        <v>12</v>
      </c>
      <c r="G41" s="2" t="s">
        <v>13</v>
      </c>
      <c r="H41" s="2" t="s">
        <v>11</v>
      </c>
      <c r="I41" s="2" t="s">
        <v>12</v>
      </c>
      <c r="J41" s="2" t="s">
        <v>14</v>
      </c>
      <c r="K41" s="2" t="s">
        <v>13</v>
      </c>
      <c r="L41" s="2" t="s">
        <v>14</v>
      </c>
      <c r="M41" s="2" t="s">
        <v>13</v>
      </c>
      <c r="N41" s="2" t="s">
        <v>11</v>
      </c>
      <c r="O41" s="2" t="s">
        <v>12</v>
      </c>
      <c r="P41" s="2" t="s">
        <v>14</v>
      </c>
      <c r="Q41" s="2" t="s">
        <v>11</v>
      </c>
      <c r="R41" s="2" t="s">
        <v>12</v>
      </c>
      <c r="S41" s="2" t="s">
        <v>13</v>
      </c>
      <c r="T41" s="2" t="s">
        <v>11</v>
      </c>
      <c r="U41" s="2" t="s">
        <v>12</v>
      </c>
      <c r="V41" s="2" t="s">
        <v>14</v>
      </c>
      <c r="W41" s="2" t="s">
        <v>13</v>
      </c>
      <c r="X41" s="2" t="s">
        <v>13</v>
      </c>
      <c r="Y41" s="2" t="s">
        <v>12</v>
      </c>
      <c r="Z41" s="2" t="s">
        <v>11</v>
      </c>
      <c r="AA41" s="2" t="s">
        <v>14</v>
      </c>
      <c r="AB41" s="2" t="s">
        <v>14</v>
      </c>
      <c r="AC41" s="2" t="s">
        <v>11</v>
      </c>
      <c r="AD41" s="2" t="s">
        <v>13</v>
      </c>
      <c r="AE41" s="2" t="s">
        <v>12</v>
      </c>
      <c r="AF41" s="2" t="s">
        <v>11</v>
      </c>
      <c r="AG41" s="2" t="s">
        <v>14</v>
      </c>
      <c r="AH41" s="2" t="s">
        <v>13</v>
      </c>
      <c r="AI41" s="2" t="s">
        <v>12</v>
      </c>
      <c r="AJ41" s="2" t="s">
        <v>12</v>
      </c>
      <c r="AK41" s="2" t="s">
        <v>11</v>
      </c>
      <c r="AL41" s="2" t="s">
        <v>14</v>
      </c>
      <c r="AM41" s="2" t="s">
        <v>13</v>
      </c>
      <c r="AN41" s="2" t="s">
        <v>13</v>
      </c>
      <c r="AO41" s="2" t="s">
        <v>14</v>
      </c>
      <c r="AP41" s="2" t="s">
        <v>11</v>
      </c>
      <c r="AQ41" s="2" t="s">
        <v>12</v>
      </c>
      <c r="AR41" s="2" t="s">
        <v>14</v>
      </c>
      <c r="AS41" s="2" t="s">
        <v>13</v>
      </c>
      <c r="AT41" s="2" t="s">
        <v>11</v>
      </c>
      <c r="AU41" s="2" t="s">
        <v>11</v>
      </c>
      <c r="AV41" s="2" t="s">
        <v>13</v>
      </c>
      <c r="AW41" s="2" t="s">
        <v>14</v>
      </c>
      <c r="AX41" s="2" t="s">
        <v>11</v>
      </c>
      <c r="AY41" s="2" t="s">
        <v>13</v>
      </c>
      <c r="AZ41" s="2" t="s">
        <v>14</v>
      </c>
      <c r="BA41" s="2" t="s">
        <v>11</v>
      </c>
      <c r="BB41" s="2" t="s">
        <v>13</v>
      </c>
      <c r="BC41" s="2" t="s">
        <v>14</v>
      </c>
      <c r="BD41" s="2" t="s">
        <v>13</v>
      </c>
      <c r="BE41" s="2" t="s">
        <v>14</v>
      </c>
      <c r="BF41" s="2" t="s">
        <v>11</v>
      </c>
      <c r="BG41" s="2" t="s">
        <v>13</v>
      </c>
      <c r="BH41" s="2" t="s">
        <v>11</v>
      </c>
      <c r="BI41" s="2" t="s">
        <v>14</v>
      </c>
      <c r="BJ41" s="2" t="s">
        <v>14</v>
      </c>
      <c r="BK41" s="2" t="s">
        <v>13</v>
      </c>
      <c r="BL41" s="2" t="s">
        <v>11</v>
      </c>
      <c r="BM41" s="2" t="s">
        <v>14</v>
      </c>
      <c r="BN41" s="2" t="s">
        <v>11</v>
      </c>
      <c r="BO41" s="2" t="s">
        <v>13</v>
      </c>
      <c r="BP41" s="2" t="s">
        <v>14</v>
      </c>
      <c r="BQ41" s="2" t="s">
        <v>11</v>
      </c>
      <c r="BR41" s="2" t="s">
        <v>13</v>
      </c>
      <c r="BS41" s="2" t="s">
        <v>11</v>
      </c>
      <c r="BT41" s="2" t="s">
        <v>14</v>
      </c>
      <c r="BU41" s="2" t="s">
        <v>13</v>
      </c>
      <c r="BV41" s="2" t="s">
        <v>44</v>
      </c>
      <c r="BW41" s="2"/>
    </row>
    <row r="42" spans="1:75" x14ac:dyDescent="0.3">
      <c r="A42" s="1">
        <v>46150.53837962963</v>
      </c>
      <c r="B42" s="2" t="s">
        <v>25</v>
      </c>
      <c r="C42" s="2" t="s">
        <v>15</v>
      </c>
      <c r="D42" s="2" t="s">
        <v>13</v>
      </c>
      <c r="E42" s="2" t="s">
        <v>12</v>
      </c>
      <c r="F42" s="2" t="s">
        <v>11</v>
      </c>
      <c r="G42" s="2" t="s">
        <v>14</v>
      </c>
      <c r="H42" s="2" t="s">
        <v>13</v>
      </c>
      <c r="I42" s="2" t="s">
        <v>14</v>
      </c>
      <c r="J42" s="2" t="s">
        <v>12</v>
      </c>
      <c r="K42" s="2" t="s">
        <v>11</v>
      </c>
      <c r="L42" s="2" t="s">
        <v>11</v>
      </c>
      <c r="M42" s="2" t="s">
        <v>13</v>
      </c>
      <c r="N42" s="2" t="s">
        <v>14</v>
      </c>
      <c r="O42" s="2" t="s">
        <v>12</v>
      </c>
      <c r="P42" s="2" t="s">
        <v>11</v>
      </c>
      <c r="Q42" s="2" t="s">
        <v>13</v>
      </c>
      <c r="R42" s="2" t="s">
        <v>14</v>
      </c>
      <c r="S42" s="2" t="s">
        <v>12</v>
      </c>
      <c r="T42" s="2" t="s">
        <v>11</v>
      </c>
      <c r="U42" s="2" t="s">
        <v>14</v>
      </c>
      <c r="V42" s="2" t="s">
        <v>13</v>
      </c>
      <c r="W42" s="2" t="s">
        <v>12</v>
      </c>
      <c r="X42" s="2" t="s">
        <v>11</v>
      </c>
      <c r="Y42" s="2" t="s">
        <v>13</v>
      </c>
      <c r="Z42" s="2" t="s">
        <v>14</v>
      </c>
      <c r="AA42" s="2" t="s">
        <v>12</v>
      </c>
      <c r="AB42" s="2" t="s">
        <v>11</v>
      </c>
      <c r="AC42" s="2" t="s">
        <v>13</v>
      </c>
      <c r="AD42" s="2" t="s">
        <v>14</v>
      </c>
      <c r="AE42" s="2" t="s">
        <v>12</v>
      </c>
      <c r="AF42" s="2" t="s">
        <v>11</v>
      </c>
      <c r="AG42" s="2" t="s">
        <v>13</v>
      </c>
      <c r="AH42" s="2" t="s">
        <v>14</v>
      </c>
      <c r="AI42" s="2" t="s">
        <v>12</v>
      </c>
      <c r="AJ42" s="2" t="s">
        <v>13</v>
      </c>
      <c r="AK42" s="2" t="s">
        <v>11</v>
      </c>
      <c r="AL42" s="2" t="s">
        <v>14</v>
      </c>
      <c r="AM42" s="2" t="s">
        <v>12</v>
      </c>
      <c r="AN42" s="2" t="s">
        <v>11</v>
      </c>
      <c r="AO42" s="2" t="s">
        <v>13</v>
      </c>
      <c r="AP42" s="2" t="s">
        <v>12</v>
      </c>
      <c r="AQ42" s="2" t="s">
        <v>14</v>
      </c>
      <c r="AR42" s="2" t="s">
        <v>14</v>
      </c>
      <c r="AS42" s="2" t="s">
        <v>13</v>
      </c>
      <c r="AT42" s="2" t="s">
        <v>11</v>
      </c>
      <c r="AU42" s="2" t="s">
        <v>11</v>
      </c>
      <c r="AV42" s="2" t="s">
        <v>14</v>
      </c>
      <c r="AW42" s="2" t="s">
        <v>13</v>
      </c>
      <c r="AX42" s="2" t="s">
        <v>13</v>
      </c>
      <c r="AY42" s="2" t="s">
        <v>11</v>
      </c>
      <c r="AZ42" s="2" t="s">
        <v>14</v>
      </c>
      <c r="BA42" s="2" t="s">
        <v>11</v>
      </c>
      <c r="BB42" s="2" t="s">
        <v>13</v>
      </c>
      <c r="BC42" s="2" t="s">
        <v>14</v>
      </c>
      <c r="BD42" s="2" t="s">
        <v>11</v>
      </c>
      <c r="BE42" s="2" t="s">
        <v>13</v>
      </c>
      <c r="BF42" s="2" t="s">
        <v>14</v>
      </c>
      <c r="BG42" s="2" t="s">
        <v>11</v>
      </c>
      <c r="BH42" s="2" t="s">
        <v>13</v>
      </c>
      <c r="BI42" s="2" t="s">
        <v>14</v>
      </c>
      <c r="BJ42" s="2" t="s">
        <v>13</v>
      </c>
      <c r="BK42" s="2" t="s">
        <v>11</v>
      </c>
      <c r="BL42" s="2" t="s">
        <v>14</v>
      </c>
      <c r="BM42" s="2" t="s">
        <v>13</v>
      </c>
      <c r="BN42" s="2" t="s">
        <v>11</v>
      </c>
      <c r="BO42" s="2" t="s">
        <v>14</v>
      </c>
      <c r="BP42" s="2" t="s">
        <v>11</v>
      </c>
      <c r="BQ42" s="2" t="s">
        <v>13</v>
      </c>
      <c r="BR42" s="2" t="s">
        <v>14</v>
      </c>
      <c r="BS42" s="2" t="s">
        <v>11</v>
      </c>
      <c r="BT42" s="2" t="s">
        <v>13</v>
      </c>
      <c r="BU42" s="2" t="s">
        <v>14</v>
      </c>
      <c r="BV42" s="2" t="s">
        <v>45</v>
      </c>
      <c r="BW42" s="2"/>
    </row>
    <row r="43" spans="1:75" x14ac:dyDescent="0.3">
      <c r="A43" s="1">
        <v>46150.551608796297</v>
      </c>
      <c r="B43" s="2" t="s">
        <v>23</v>
      </c>
      <c r="C43" s="2" t="s">
        <v>10</v>
      </c>
      <c r="D43" s="2" t="s">
        <v>12</v>
      </c>
      <c r="E43" s="2" t="s">
        <v>11</v>
      </c>
      <c r="F43" s="2" t="s">
        <v>14</v>
      </c>
      <c r="G43" s="2" t="s">
        <v>13</v>
      </c>
      <c r="H43" s="2" t="s">
        <v>11</v>
      </c>
      <c r="I43" s="2" t="s">
        <v>14</v>
      </c>
      <c r="J43" s="2" t="s">
        <v>12</v>
      </c>
      <c r="K43" s="2" t="s">
        <v>13</v>
      </c>
      <c r="L43" s="2" t="s">
        <v>14</v>
      </c>
      <c r="M43" s="2" t="s">
        <v>13</v>
      </c>
      <c r="N43" s="2" t="s">
        <v>11</v>
      </c>
      <c r="O43" s="2" t="s">
        <v>12</v>
      </c>
      <c r="P43" s="2" t="s">
        <v>11</v>
      </c>
      <c r="Q43" s="2" t="s">
        <v>12</v>
      </c>
      <c r="R43" s="2" t="s">
        <v>14</v>
      </c>
      <c r="S43" s="2" t="s">
        <v>13</v>
      </c>
      <c r="T43" s="2" t="s">
        <v>14</v>
      </c>
      <c r="U43" s="2" t="s">
        <v>11</v>
      </c>
      <c r="V43" s="2" t="s">
        <v>13</v>
      </c>
      <c r="W43" s="2" t="s">
        <v>12</v>
      </c>
      <c r="X43" s="2" t="s">
        <v>13</v>
      </c>
      <c r="Y43" s="2" t="s">
        <v>14</v>
      </c>
      <c r="Z43" s="2" t="s">
        <v>11</v>
      </c>
      <c r="AA43" s="2" t="s">
        <v>12</v>
      </c>
      <c r="AB43" s="2" t="s">
        <v>13</v>
      </c>
      <c r="AC43" s="2" t="s">
        <v>12</v>
      </c>
      <c r="AD43" s="2" t="s">
        <v>11</v>
      </c>
      <c r="AE43" s="2" t="s">
        <v>14</v>
      </c>
      <c r="AF43" s="2" t="s">
        <v>12</v>
      </c>
      <c r="AG43" s="2" t="s">
        <v>13</v>
      </c>
      <c r="AH43" s="2" t="s">
        <v>14</v>
      </c>
      <c r="AI43" s="2" t="s">
        <v>11</v>
      </c>
      <c r="AJ43" s="2" t="s">
        <v>11</v>
      </c>
      <c r="AK43" s="2" t="s">
        <v>13</v>
      </c>
      <c r="AL43" s="2" t="s">
        <v>14</v>
      </c>
      <c r="AM43" s="2" t="s">
        <v>12</v>
      </c>
      <c r="AN43" s="2" t="s">
        <v>11</v>
      </c>
      <c r="AO43" s="2" t="s">
        <v>12</v>
      </c>
      <c r="AP43" s="2" t="s">
        <v>13</v>
      </c>
      <c r="AQ43" s="2" t="s">
        <v>14</v>
      </c>
      <c r="AR43" s="2" t="s">
        <v>14</v>
      </c>
      <c r="AS43" s="2" t="s">
        <v>13</v>
      </c>
      <c r="AT43" s="2" t="s">
        <v>11</v>
      </c>
      <c r="AU43" s="2" t="s">
        <v>13</v>
      </c>
      <c r="AV43" s="2" t="s">
        <v>14</v>
      </c>
      <c r="AW43" s="2" t="s">
        <v>11</v>
      </c>
      <c r="AX43" s="2" t="s">
        <v>13</v>
      </c>
      <c r="AY43" s="2" t="s">
        <v>11</v>
      </c>
      <c r="AZ43" s="2" t="s">
        <v>14</v>
      </c>
      <c r="BA43" s="2" t="s">
        <v>11</v>
      </c>
      <c r="BB43" s="2" t="s">
        <v>13</v>
      </c>
      <c r="BC43" s="2" t="s">
        <v>14</v>
      </c>
      <c r="BD43" s="2" t="s">
        <v>14</v>
      </c>
      <c r="BE43" s="2" t="s">
        <v>13</v>
      </c>
      <c r="BF43" s="2" t="s">
        <v>11</v>
      </c>
      <c r="BG43" s="2" t="s">
        <v>11</v>
      </c>
      <c r="BH43" s="2" t="s">
        <v>13</v>
      </c>
      <c r="BI43" s="2" t="s">
        <v>14</v>
      </c>
      <c r="BJ43" s="2" t="s">
        <v>14</v>
      </c>
      <c r="BK43" s="2" t="s">
        <v>13</v>
      </c>
      <c r="BL43" s="2" t="s">
        <v>11</v>
      </c>
      <c r="BM43" s="2" t="s">
        <v>13</v>
      </c>
      <c r="BN43" s="2" t="s">
        <v>11</v>
      </c>
      <c r="BO43" s="2" t="s">
        <v>14</v>
      </c>
      <c r="BP43" s="2" t="s">
        <v>11</v>
      </c>
      <c r="BQ43" s="2" t="s">
        <v>13</v>
      </c>
      <c r="BR43" s="2" t="s">
        <v>14</v>
      </c>
      <c r="BS43" s="2" t="s">
        <v>13</v>
      </c>
      <c r="BT43" s="2" t="s">
        <v>14</v>
      </c>
      <c r="BU43" s="2" t="s">
        <v>11</v>
      </c>
      <c r="BV43" s="2" t="s">
        <v>46</v>
      </c>
      <c r="BW43" s="2"/>
    </row>
    <row r="44" spans="1:75" x14ac:dyDescent="0.3">
      <c r="A44" s="1">
        <v>46150.585625</v>
      </c>
      <c r="B44" s="2" t="s">
        <v>25</v>
      </c>
      <c r="C44" s="2" t="s">
        <v>10</v>
      </c>
      <c r="D44" s="2" t="s">
        <v>12</v>
      </c>
      <c r="E44" s="2" t="s">
        <v>14</v>
      </c>
      <c r="F44" s="2" t="s">
        <v>13</v>
      </c>
      <c r="G44" s="2" t="s">
        <v>11</v>
      </c>
      <c r="H44" s="2" t="s">
        <v>13</v>
      </c>
      <c r="I44" s="2" t="s">
        <v>14</v>
      </c>
      <c r="J44" s="2" t="s">
        <v>12</v>
      </c>
      <c r="K44" s="2" t="s">
        <v>11</v>
      </c>
      <c r="L44" s="2" t="s">
        <v>14</v>
      </c>
      <c r="M44" s="2" t="s">
        <v>11</v>
      </c>
      <c r="N44" s="2" t="s">
        <v>12</v>
      </c>
      <c r="O44" s="2" t="s">
        <v>13</v>
      </c>
      <c r="P44" s="2" t="s">
        <v>14</v>
      </c>
      <c r="Q44" s="2" t="s">
        <v>13</v>
      </c>
      <c r="R44" s="2" t="s">
        <v>12</v>
      </c>
      <c r="S44" s="2" t="s">
        <v>11</v>
      </c>
      <c r="T44" s="2" t="s">
        <v>11</v>
      </c>
      <c r="U44" s="2" t="s">
        <v>14</v>
      </c>
      <c r="V44" s="2" t="s">
        <v>13</v>
      </c>
      <c r="W44" s="2" t="s">
        <v>12</v>
      </c>
      <c r="X44" s="2" t="s">
        <v>11</v>
      </c>
      <c r="Y44" s="2" t="s">
        <v>14</v>
      </c>
      <c r="Z44" s="2" t="s">
        <v>13</v>
      </c>
      <c r="AA44" s="2" t="s">
        <v>12</v>
      </c>
      <c r="AB44" s="2" t="s">
        <v>11</v>
      </c>
      <c r="AC44" s="2" t="s">
        <v>13</v>
      </c>
      <c r="AD44" s="2" t="s">
        <v>14</v>
      </c>
      <c r="AE44" s="2" t="s">
        <v>12</v>
      </c>
      <c r="AF44" s="2" t="s">
        <v>11</v>
      </c>
      <c r="AG44" s="2" t="s">
        <v>14</v>
      </c>
      <c r="AH44" s="2" t="s">
        <v>13</v>
      </c>
      <c r="AI44" s="2" t="s">
        <v>12</v>
      </c>
      <c r="AJ44" s="2" t="s">
        <v>11</v>
      </c>
      <c r="AK44" s="2" t="s">
        <v>12</v>
      </c>
      <c r="AL44" s="2" t="s">
        <v>14</v>
      </c>
      <c r="AM44" s="2" t="s">
        <v>13</v>
      </c>
      <c r="AN44" s="2" t="s">
        <v>14</v>
      </c>
      <c r="AO44" s="2" t="s">
        <v>11</v>
      </c>
      <c r="AP44" s="2" t="s">
        <v>13</v>
      </c>
      <c r="AQ44" s="2" t="s">
        <v>12</v>
      </c>
      <c r="AR44" s="2" t="s">
        <v>14</v>
      </c>
      <c r="AS44" s="2" t="s">
        <v>13</v>
      </c>
      <c r="AT44" s="2" t="s">
        <v>11</v>
      </c>
      <c r="AU44" s="2" t="s">
        <v>11</v>
      </c>
      <c r="AV44" s="2" t="s">
        <v>14</v>
      </c>
      <c r="AW44" s="2" t="s">
        <v>13</v>
      </c>
      <c r="AX44" s="2" t="s">
        <v>13</v>
      </c>
      <c r="AY44" s="2" t="s">
        <v>11</v>
      </c>
      <c r="AZ44" s="2" t="s">
        <v>14</v>
      </c>
      <c r="BA44" s="2" t="s">
        <v>14</v>
      </c>
      <c r="BB44" s="2" t="s">
        <v>13</v>
      </c>
      <c r="BC44" s="2" t="s">
        <v>11</v>
      </c>
      <c r="BD44" s="2" t="s">
        <v>14</v>
      </c>
      <c r="BE44" s="2" t="s">
        <v>13</v>
      </c>
      <c r="BF44" s="2" t="s">
        <v>11</v>
      </c>
      <c r="BG44" s="2" t="s">
        <v>14</v>
      </c>
      <c r="BH44" s="2" t="s">
        <v>13</v>
      </c>
      <c r="BI44" s="2" t="s">
        <v>11</v>
      </c>
      <c r="BJ44" s="2" t="s">
        <v>14</v>
      </c>
      <c r="BK44" s="2" t="s">
        <v>13</v>
      </c>
      <c r="BL44" s="2" t="s">
        <v>11</v>
      </c>
      <c r="BM44" s="2" t="s">
        <v>14</v>
      </c>
      <c r="BN44" s="2" t="s">
        <v>11</v>
      </c>
      <c r="BO44" s="2" t="s">
        <v>13</v>
      </c>
      <c r="BP44" s="2" t="s">
        <v>11</v>
      </c>
      <c r="BQ44" s="2" t="s">
        <v>14</v>
      </c>
      <c r="BR44" s="2" t="s">
        <v>13</v>
      </c>
      <c r="BS44" s="2" t="s">
        <v>11</v>
      </c>
      <c r="BT44" s="2" t="s">
        <v>13</v>
      </c>
      <c r="BU44" s="2" t="s">
        <v>14</v>
      </c>
      <c r="BV44" s="2" t="s">
        <v>47</v>
      </c>
      <c r="BW44" s="2"/>
    </row>
    <row r="45" spans="1:75" x14ac:dyDescent="0.3">
      <c r="A45" s="1">
        <v>46152.985393518517</v>
      </c>
      <c r="B45" s="2" t="s">
        <v>17</v>
      </c>
      <c r="C45" s="2" t="s">
        <v>10</v>
      </c>
      <c r="D45" s="2" t="s">
        <v>14</v>
      </c>
      <c r="E45" s="2" t="s">
        <v>12</v>
      </c>
      <c r="F45" s="2" t="s">
        <v>13</v>
      </c>
      <c r="G45" s="2" t="s">
        <v>11</v>
      </c>
      <c r="H45" s="2" t="s">
        <v>13</v>
      </c>
      <c r="I45" s="2" t="s">
        <v>14</v>
      </c>
      <c r="J45" s="2" t="s">
        <v>12</v>
      </c>
      <c r="K45" s="2" t="s">
        <v>11</v>
      </c>
      <c r="L45" s="2" t="s">
        <v>13</v>
      </c>
      <c r="M45" s="2" t="s">
        <v>14</v>
      </c>
      <c r="N45" s="2" t="s">
        <v>12</v>
      </c>
      <c r="O45" s="2" t="s">
        <v>11</v>
      </c>
      <c r="P45" s="2" t="s">
        <v>11</v>
      </c>
      <c r="Q45" s="2" t="s">
        <v>12</v>
      </c>
      <c r="R45" s="2" t="s">
        <v>14</v>
      </c>
      <c r="S45" s="2" t="s">
        <v>13</v>
      </c>
      <c r="T45" s="2" t="s">
        <v>11</v>
      </c>
      <c r="U45" s="2" t="s">
        <v>12</v>
      </c>
      <c r="V45" s="2" t="s">
        <v>13</v>
      </c>
      <c r="W45" s="2" t="s">
        <v>14</v>
      </c>
      <c r="X45" s="2" t="s">
        <v>11</v>
      </c>
      <c r="Y45" s="2" t="s">
        <v>14</v>
      </c>
      <c r="Z45" s="2" t="s">
        <v>12</v>
      </c>
      <c r="AA45" s="2" t="s">
        <v>13</v>
      </c>
      <c r="AB45" s="2" t="s">
        <v>11</v>
      </c>
      <c r="AC45" s="2" t="s">
        <v>12</v>
      </c>
      <c r="AD45" s="2" t="s">
        <v>13</v>
      </c>
      <c r="AE45" s="2" t="s">
        <v>14</v>
      </c>
      <c r="AF45" s="2" t="s">
        <v>13</v>
      </c>
      <c r="AG45" s="2" t="s">
        <v>14</v>
      </c>
      <c r="AH45" s="2" t="s">
        <v>12</v>
      </c>
      <c r="AI45" s="2" t="s">
        <v>11</v>
      </c>
      <c r="AJ45" s="2" t="s">
        <v>11</v>
      </c>
      <c r="AK45" s="2" t="s">
        <v>13</v>
      </c>
      <c r="AL45" s="2" t="s">
        <v>12</v>
      </c>
      <c r="AM45" s="2" t="s">
        <v>14</v>
      </c>
      <c r="AN45" s="2" t="s">
        <v>12</v>
      </c>
      <c r="AO45" s="2" t="s">
        <v>13</v>
      </c>
      <c r="AP45" s="2" t="s">
        <v>14</v>
      </c>
      <c r="AQ45" s="2" t="s">
        <v>11</v>
      </c>
      <c r="AR45" s="2" t="s">
        <v>13</v>
      </c>
      <c r="AS45" s="2" t="s">
        <v>11</v>
      </c>
      <c r="AT45" s="2" t="s">
        <v>14</v>
      </c>
      <c r="AU45" s="2" t="s">
        <v>14</v>
      </c>
      <c r="AV45" s="2" t="s">
        <v>13</v>
      </c>
      <c r="AW45" s="2" t="s">
        <v>11</v>
      </c>
      <c r="AX45" s="2" t="s">
        <v>13</v>
      </c>
      <c r="AY45" s="2" t="s">
        <v>11</v>
      </c>
      <c r="AZ45" s="2" t="s">
        <v>14</v>
      </c>
      <c r="BA45" s="2" t="s">
        <v>11</v>
      </c>
      <c r="BB45" s="2" t="s">
        <v>14</v>
      </c>
      <c r="BC45" s="2" t="s">
        <v>13</v>
      </c>
      <c r="BD45" s="2" t="s">
        <v>13</v>
      </c>
      <c r="BE45" s="2" t="s">
        <v>11</v>
      </c>
      <c r="BF45" s="2" t="s">
        <v>14</v>
      </c>
      <c r="BG45" s="2" t="s">
        <v>11</v>
      </c>
      <c r="BH45" s="2" t="s">
        <v>13</v>
      </c>
      <c r="BI45" s="2" t="s">
        <v>14</v>
      </c>
      <c r="BJ45" s="2" t="s">
        <v>14</v>
      </c>
      <c r="BK45" s="2" t="s">
        <v>11</v>
      </c>
      <c r="BL45" s="2" t="s">
        <v>13</v>
      </c>
      <c r="BM45" s="2" t="s">
        <v>13</v>
      </c>
      <c r="BN45" s="2" t="s">
        <v>11</v>
      </c>
      <c r="BO45" s="2" t="s">
        <v>14</v>
      </c>
      <c r="BP45" s="2" t="s">
        <v>11</v>
      </c>
      <c r="BQ45" s="2" t="s">
        <v>13</v>
      </c>
      <c r="BR45" s="2" t="s">
        <v>14</v>
      </c>
      <c r="BS45" s="2" t="s">
        <v>13</v>
      </c>
      <c r="BT45" s="2" t="s">
        <v>11</v>
      </c>
      <c r="BU45" s="2" t="s">
        <v>14</v>
      </c>
      <c r="BV45" s="2" t="s">
        <v>48</v>
      </c>
      <c r="BW45" s="2"/>
    </row>
    <row r="46" spans="1:75" x14ac:dyDescent="0.3">
      <c r="A46" s="1">
        <v>46153.727083333331</v>
      </c>
      <c r="B46" s="2" t="s">
        <v>9</v>
      </c>
      <c r="C46" s="2" t="s">
        <v>10</v>
      </c>
      <c r="D46" s="2" t="s">
        <v>12</v>
      </c>
      <c r="E46" s="2" t="s">
        <v>14</v>
      </c>
      <c r="F46" s="2" t="s">
        <v>13</v>
      </c>
      <c r="G46" s="2" t="s">
        <v>11</v>
      </c>
      <c r="H46" s="2" t="s">
        <v>11</v>
      </c>
      <c r="I46" s="2" t="s">
        <v>14</v>
      </c>
      <c r="J46" s="2" t="s">
        <v>12</v>
      </c>
      <c r="K46" s="2" t="s">
        <v>13</v>
      </c>
      <c r="L46" s="2" t="s">
        <v>13</v>
      </c>
      <c r="M46" s="2" t="s">
        <v>14</v>
      </c>
      <c r="N46" s="2" t="s">
        <v>12</v>
      </c>
      <c r="O46" s="2" t="s">
        <v>11</v>
      </c>
      <c r="P46" s="2" t="s">
        <v>11</v>
      </c>
      <c r="Q46" s="2" t="s">
        <v>13</v>
      </c>
      <c r="R46" s="2" t="s">
        <v>12</v>
      </c>
      <c r="S46" s="2" t="s">
        <v>14</v>
      </c>
      <c r="T46" s="2" t="s">
        <v>14</v>
      </c>
      <c r="U46" s="2" t="s">
        <v>12</v>
      </c>
      <c r="V46" s="2" t="s">
        <v>11</v>
      </c>
      <c r="W46" s="2" t="s">
        <v>13</v>
      </c>
      <c r="X46" s="2" t="s">
        <v>14</v>
      </c>
      <c r="Y46" s="2" t="s">
        <v>13</v>
      </c>
      <c r="Z46" s="2" t="s">
        <v>12</v>
      </c>
      <c r="AA46" s="2" t="s">
        <v>11</v>
      </c>
      <c r="AB46" s="2" t="s">
        <v>14</v>
      </c>
      <c r="AC46" s="2" t="s">
        <v>12</v>
      </c>
      <c r="AD46" s="2" t="s">
        <v>11</v>
      </c>
      <c r="AE46" s="2" t="s">
        <v>13</v>
      </c>
      <c r="AF46" s="2" t="s">
        <v>11</v>
      </c>
      <c r="AG46" s="2" t="s">
        <v>13</v>
      </c>
      <c r="AH46" s="2" t="s">
        <v>12</v>
      </c>
      <c r="AI46" s="2" t="s">
        <v>14</v>
      </c>
      <c r="AJ46" s="2" t="s">
        <v>11</v>
      </c>
      <c r="AK46" s="2" t="s">
        <v>14</v>
      </c>
      <c r="AL46" s="2" t="s">
        <v>13</v>
      </c>
      <c r="AM46" s="2" t="s">
        <v>12</v>
      </c>
      <c r="AN46" s="2" t="s">
        <v>13</v>
      </c>
      <c r="AO46" s="2" t="s">
        <v>12</v>
      </c>
      <c r="AP46" s="2" t="s">
        <v>14</v>
      </c>
      <c r="AQ46" s="2" t="s">
        <v>11</v>
      </c>
      <c r="AR46" s="2" t="s">
        <v>11</v>
      </c>
      <c r="AS46" s="2" t="s">
        <v>13</v>
      </c>
      <c r="AT46" s="2" t="s">
        <v>14</v>
      </c>
      <c r="AU46" s="2" t="s">
        <v>14</v>
      </c>
      <c r="AV46" s="2" t="s">
        <v>13</v>
      </c>
      <c r="AW46" s="2" t="s">
        <v>11</v>
      </c>
      <c r="AX46" s="2" t="s">
        <v>13</v>
      </c>
      <c r="AY46" s="2" t="s">
        <v>14</v>
      </c>
      <c r="AZ46" s="2" t="s">
        <v>11</v>
      </c>
      <c r="BA46" s="2" t="s">
        <v>11</v>
      </c>
      <c r="BB46" s="2" t="s">
        <v>13</v>
      </c>
      <c r="BC46" s="2" t="s">
        <v>14</v>
      </c>
      <c r="BD46" s="2" t="s">
        <v>11</v>
      </c>
      <c r="BE46" s="2" t="s">
        <v>13</v>
      </c>
      <c r="BF46" s="2" t="s">
        <v>14</v>
      </c>
      <c r="BG46" s="2" t="s">
        <v>11</v>
      </c>
      <c r="BH46" s="2" t="s">
        <v>14</v>
      </c>
      <c r="BI46" s="2" t="s">
        <v>13</v>
      </c>
      <c r="BJ46" s="2" t="s">
        <v>14</v>
      </c>
      <c r="BK46" s="2" t="s">
        <v>11</v>
      </c>
      <c r="BL46" s="2" t="s">
        <v>13</v>
      </c>
      <c r="BM46" s="2" t="s">
        <v>14</v>
      </c>
      <c r="BN46" s="2" t="s">
        <v>13</v>
      </c>
      <c r="BO46" s="2" t="s">
        <v>11</v>
      </c>
      <c r="BP46" s="2" t="s">
        <v>11</v>
      </c>
      <c r="BQ46" s="2" t="s">
        <v>13</v>
      </c>
      <c r="BR46" s="2" t="s">
        <v>14</v>
      </c>
      <c r="BS46" s="2" t="s">
        <v>11</v>
      </c>
      <c r="BT46" s="2" t="s">
        <v>13</v>
      </c>
      <c r="BU46" s="2" t="s">
        <v>14</v>
      </c>
      <c r="BV46" s="2" t="s">
        <v>49</v>
      </c>
      <c r="BW46" s="2"/>
    </row>
    <row r="47" spans="1:75" x14ac:dyDescent="0.3">
      <c r="A47" s="1">
        <v>46153.728402777779</v>
      </c>
      <c r="B47" s="2" t="s">
        <v>9</v>
      </c>
      <c r="C47" s="2" t="s">
        <v>10</v>
      </c>
      <c r="D47" s="2" t="s">
        <v>14</v>
      </c>
      <c r="E47" s="2" t="s">
        <v>12</v>
      </c>
      <c r="F47" s="2" t="s">
        <v>13</v>
      </c>
      <c r="G47" s="2" t="s">
        <v>11</v>
      </c>
      <c r="H47" s="2" t="s">
        <v>11</v>
      </c>
      <c r="I47" s="2" t="s">
        <v>14</v>
      </c>
      <c r="J47" s="2" t="s">
        <v>12</v>
      </c>
      <c r="K47" s="2" t="s">
        <v>13</v>
      </c>
      <c r="L47" s="2" t="s">
        <v>11</v>
      </c>
      <c r="M47" s="2" t="s">
        <v>12</v>
      </c>
      <c r="N47" s="2" t="s">
        <v>13</v>
      </c>
      <c r="O47" s="2" t="s">
        <v>14</v>
      </c>
      <c r="P47" s="2" t="s">
        <v>11</v>
      </c>
      <c r="Q47" s="2" t="s">
        <v>12</v>
      </c>
      <c r="R47" s="2" t="s">
        <v>13</v>
      </c>
      <c r="S47" s="2" t="s">
        <v>14</v>
      </c>
      <c r="T47" s="2" t="s">
        <v>11</v>
      </c>
      <c r="U47" s="2" t="s">
        <v>12</v>
      </c>
      <c r="V47" s="2" t="s">
        <v>13</v>
      </c>
      <c r="W47" s="2" t="s">
        <v>14</v>
      </c>
      <c r="X47" s="2" t="s">
        <v>12</v>
      </c>
      <c r="Y47" s="2" t="s">
        <v>13</v>
      </c>
      <c r="Z47" s="2" t="s">
        <v>14</v>
      </c>
      <c r="AA47" s="2" t="s">
        <v>11</v>
      </c>
      <c r="AB47" s="2" t="s">
        <v>11</v>
      </c>
      <c r="AC47" s="2" t="s">
        <v>12</v>
      </c>
      <c r="AD47" s="2" t="s">
        <v>13</v>
      </c>
      <c r="AE47" s="2" t="s">
        <v>14</v>
      </c>
      <c r="AF47" s="2" t="s">
        <v>13</v>
      </c>
      <c r="AG47" s="2" t="s">
        <v>14</v>
      </c>
      <c r="AH47" s="2" t="s">
        <v>12</v>
      </c>
      <c r="AI47" s="2" t="s">
        <v>11</v>
      </c>
      <c r="AJ47" s="2" t="s">
        <v>11</v>
      </c>
      <c r="AK47" s="2" t="s">
        <v>13</v>
      </c>
      <c r="AL47" s="2" t="s">
        <v>14</v>
      </c>
      <c r="AM47" s="2" t="s">
        <v>12</v>
      </c>
      <c r="AN47" s="2" t="s">
        <v>12</v>
      </c>
      <c r="AO47" s="2" t="s">
        <v>13</v>
      </c>
      <c r="AP47" s="2" t="s">
        <v>11</v>
      </c>
      <c r="AQ47" s="2" t="s">
        <v>14</v>
      </c>
      <c r="AR47" s="2" t="s">
        <v>14</v>
      </c>
      <c r="AS47" s="2" t="s">
        <v>13</v>
      </c>
      <c r="AT47" s="2" t="s">
        <v>11</v>
      </c>
      <c r="AU47" s="2" t="s">
        <v>13</v>
      </c>
      <c r="AV47" s="2" t="s">
        <v>14</v>
      </c>
      <c r="AW47" s="2" t="s">
        <v>11</v>
      </c>
      <c r="AX47" s="2" t="s">
        <v>14</v>
      </c>
      <c r="AY47" s="2" t="s">
        <v>11</v>
      </c>
      <c r="AZ47" s="2" t="s">
        <v>13</v>
      </c>
      <c r="BA47" s="2" t="s">
        <v>11</v>
      </c>
      <c r="BB47" s="2" t="s">
        <v>13</v>
      </c>
      <c r="BC47" s="2" t="s">
        <v>14</v>
      </c>
      <c r="BD47" s="2" t="s">
        <v>14</v>
      </c>
      <c r="BE47" s="2" t="s">
        <v>13</v>
      </c>
      <c r="BF47" s="2" t="s">
        <v>11</v>
      </c>
      <c r="BG47" s="2" t="s">
        <v>11</v>
      </c>
      <c r="BH47" s="2" t="s">
        <v>14</v>
      </c>
      <c r="BI47" s="2" t="s">
        <v>13</v>
      </c>
      <c r="BJ47" s="2" t="s">
        <v>14</v>
      </c>
      <c r="BK47" s="2" t="s">
        <v>11</v>
      </c>
      <c r="BL47" s="2" t="s">
        <v>13</v>
      </c>
      <c r="BM47" s="2" t="s">
        <v>11</v>
      </c>
      <c r="BN47" s="2" t="s">
        <v>14</v>
      </c>
      <c r="BO47" s="2" t="s">
        <v>13</v>
      </c>
      <c r="BP47" s="2" t="s">
        <v>11</v>
      </c>
      <c r="BQ47" s="2" t="s">
        <v>13</v>
      </c>
      <c r="BR47" s="2" t="s">
        <v>14</v>
      </c>
      <c r="BS47" s="2" t="s">
        <v>11</v>
      </c>
      <c r="BT47" s="2" t="s">
        <v>13</v>
      </c>
      <c r="BU47" s="2" t="s">
        <v>14</v>
      </c>
      <c r="BV47" s="2" t="s">
        <v>50</v>
      </c>
      <c r="BW47" s="2"/>
    </row>
    <row r="48" spans="1:75" x14ac:dyDescent="0.3">
      <c r="A48" s="1">
        <v>46153.731192129628</v>
      </c>
      <c r="B48" s="2" t="s">
        <v>9</v>
      </c>
      <c r="C48" s="2" t="s">
        <v>10</v>
      </c>
      <c r="D48" s="2" t="s">
        <v>13</v>
      </c>
      <c r="E48" s="2" t="s">
        <v>12</v>
      </c>
      <c r="F48" s="2" t="s">
        <v>11</v>
      </c>
      <c r="G48" s="2" t="s">
        <v>14</v>
      </c>
      <c r="H48" s="2" t="s">
        <v>13</v>
      </c>
      <c r="I48" s="2" t="s">
        <v>14</v>
      </c>
      <c r="J48" s="2" t="s">
        <v>12</v>
      </c>
      <c r="K48" s="2" t="s">
        <v>11</v>
      </c>
      <c r="L48" s="2" t="s">
        <v>12</v>
      </c>
      <c r="M48" s="2" t="s">
        <v>13</v>
      </c>
      <c r="N48" s="2" t="s">
        <v>11</v>
      </c>
      <c r="O48" s="2" t="s">
        <v>14</v>
      </c>
      <c r="P48" s="2" t="s">
        <v>11</v>
      </c>
      <c r="Q48" s="2" t="s">
        <v>14</v>
      </c>
      <c r="R48" s="2" t="s">
        <v>13</v>
      </c>
      <c r="S48" s="2" t="s">
        <v>12</v>
      </c>
      <c r="T48" s="2" t="s">
        <v>13</v>
      </c>
      <c r="U48" s="2" t="s">
        <v>12</v>
      </c>
      <c r="V48" s="2" t="s">
        <v>11</v>
      </c>
      <c r="W48" s="2" t="s">
        <v>14</v>
      </c>
      <c r="X48" s="2" t="s">
        <v>11</v>
      </c>
      <c r="Y48" s="2" t="s">
        <v>13</v>
      </c>
      <c r="Z48" s="2" t="s">
        <v>12</v>
      </c>
      <c r="AA48" s="2" t="s">
        <v>14</v>
      </c>
      <c r="AB48" s="2" t="s">
        <v>13</v>
      </c>
      <c r="AC48" s="2" t="s">
        <v>12</v>
      </c>
      <c r="AD48" s="2" t="s">
        <v>11</v>
      </c>
      <c r="AE48" s="2" t="s">
        <v>14</v>
      </c>
      <c r="AF48" s="2" t="s">
        <v>14</v>
      </c>
      <c r="AG48" s="2" t="s">
        <v>13</v>
      </c>
      <c r="AH48" s="2" t="s">
        <v>12</v>
      </c>
      <c r="AI48" s="2" t="s">
        <v>11</v>
      </c>
      <c r="AJ48" s="2" t="s">
        <v>11</v>
      </c>
      <c r="AK48" s="2" t="s">
        <v>14</v>
      </c>
      <c r="AL48" s="2" t="s">
        <v>13</v>
      </c>
      <c r="AM48" s="2" t="s">
        <v>12</v>
      </c>
      <c r="AN48" s="2" t="s">
        <v>13</v>
      </c>
      <c r="AO48" s="2" t="s">
        <v>12</v>
      </c>
      <c r="AP48" s="2" t="s">
        <v>14</v>
      </c>
      <c r="AQ48" s="2" t="s">
        <v>11</v>
      </c>
      <c r="AR48" s="2" t="s">
        <v>14</v>
      </c>
      <c r="AS48" s="2" t="s">
        <v>11</v>
      </c>
      <c r="AT48" s="2" t="s">
        <v>13</v>
      </c>
      <c r="AU48" s="2" t="s">
        <v>14</v>
      </c>
      <c r="AV48" s="2" t="s">
        <v>13</v>
      </c>
      <c r="AW48" s="2" t="s">
        <v>11</v>
      </c>
      <c r="AX48" s="2" t="s">
        <v>11</v>
      </c>
      <c r="AY48" s="2" t="s">
        <v>14</v>
      </c>
      <c r="AZ48" s="2" t="s">
        <v>13</v>
      </c>
      <c r="BA48" s="2" t="s">
        <v>13</v>
      </c>
      <c r="BB48" s="2" t="s">
        <v>11</v>
      </c>
      <c r="BC48" s="2" t="s">
        <v>14</v>
      </c>
      <c r="BD48" s="2" t="s">
        <v>13</v>
      </c>
      <c r="BE48" s="2" t="s">
        <v>14</v>
      </c>
      <c r="BF48" s="2" t="s">
        <v>11</v>
      </c>
      <c r="BG48" s="2" t="s">
        <v>11</v>
      </c>
      <c r="BH48" s="2" t="s">
        <v>14</v>
      </c>
      <c r="BI48" s="2" t="s">
        <v>13</v>
      </c>
      <c r="BJ48" s="2" t="s">
        <v>14</v>
      </c>
      <c r="BK48" s="2" t="s">
        <v>11</v>
      </c>
      <c r="BL48" s="2" t="s">
        <v>13</v>
      </c>
      <c r="BM48" s="2" t="s">
        <v>14</v>
      </c>
      <c r="BN48" s="2" t="s">
        <v>13</v>
      </c>
      <c r="BO48" s="2" t="s">
        <v>11</v>
      </c>
      <c r="BP48" s="2" t="s">
        <v>13</v>
      </c>
      <c r="BQ48" s="2" t="s">
        <v>11</v>
      </c>
      <c r="BR48" s="2" t="s">
        <v>14</v>
      </c>
      <c r="BS48" s="2" t="s">
        <v>13</v>
      </c>
      <c r="BT48" s="2" t="s">
        <v>11</v>
      </c>
      <c r="BU48" s="2" t="s">
        <v>14</v>
      </c>
      <c r="BV48" s="2" t="s">
        <v>51</v>
      </c>
      <c r="BW48" s="2"/>
    </row>
    <row r="49" spans="1:75" x14ac:dyDescent="0.3">
      <c r="A49" s="1">
        <v>46153.810266203705</v>
      </c>
      <c r="B49" s="2" t="s">
        <v>9</v>
      </c>
      <c r="C49" s="2" t="s">
        <v>15</v>
      </c>
      <c r="D49" s="2" t="s">
        <v>11</v>
      </c>
      <c r="E49" s="2" t="s">
        <v>12</v>
      </c>
      <c r="F49" s="2" t="s">
        <v>13</v>
      </c>
      <c r="G49" s="2" t="s">
        <v>14</v>
      </c>
      <c r="H49" s="2" t="s">
        <v>11</v>
      </c>
      <c r="I49" s="2" t="s">
        <v>14</v>
      </c>
      <c r="J49" s="2" t="s">
        <v>12</v>
      </c>
      <c r="K49" s="2" t="s">
        <v>13</v>
      </c>
      <c r="L49" s="2" t="s">
        <v>12</v>
      </c>
      <c r="M49" s="2" t="s">
        <v>13</v>
      </c>
      <c r="N49" s="2" t="s">
        <v>14</v>
      </c>
      <c r="O49" s="2" t="s">
        <v>11</v>
      </c>
      <c r="P49" s="2" t="s">
        <v>11</v>
      </c>
      <c r="Q49" s="2" t="s">
        <v>12</v>
      </c>
      <c r="R49" s="2" t="s">
        <v>13</v>
      </c>
      <c r="S49" s="2" t="s">
        <v>14</v>
      </c>
      <c r="T49" s="2" t="s">
        <v>11</v>
      </c>
      <c r="U49" s="2" t="s">
        <v>12</v>
      </c>
      <c r="V49" s="2" t="s">
        <v>13</v>
      </c>
      <c r="W49" s="2" t="s">
        <v>14</v>
      </c>
      <c r="X49" s="2" t="s">
        <v>14</v>
      </c>
      <c r="Y49" s="2" t="s">
        <v>13</v>
      </c>
      <c r="Z49" s="2" t="s">
        <v>12</v>
      </c>
      <c r="AA49" s="2" t="s">
        <v>11</v>
      </c>
      <c r="AB49" s="2" t="s">
        <v>11</v>
      </c>
      <c r="AC49" s="2" t="s">
        <v>12</v>
      </c>
      <c r="AD49" s="2" t="s">
        <v>13</v>
      </c>
      <c r="AE49" s="2" t="s">
        <v>14</v>
      </c>
      <c r="AF49" s="2" t="s">
        <v>14</v>
      </c>
      <c r="AG49" s="2" t="s">
        <v>13</v>
      </c>
      <c r="AH49" s="2" t="s">
        <v>12</v>
      </c>
      <c r="AI49" s="2" t="s">
        <v>11</v>
      </c>
      <c r="AJ49" s="2" t="s">
        <v>11</v>
      </c>
      <c r="AK49" s="2" t="s">
        <v>14</v>
      </c>
      <c r="AL49" s="2" t="s">
        <v>13</v>
      </c>
      <c r="AM49" s="2" t="s">
        <v>12</v>
      </c>
      <c r="AN49" s="2" t="s">
        <v>12</v>
      </c>
      <c r="AO49" s="2" t="s">
        <v>11</v>
      </c>
      <c r="AP49" s="2" t="s">
        <v>14</v>
      </c>
      <c r="AQ49" s="2" t="s">
        <v>13</v>
      </c>
      <c r="AR49" s="2" t="s">
        <v>14</v>
      </c>
      <c r="AS49" s="2" t="s">
        <v>13</v>
      </c>
      <c r="AT49" s="2" t="s">
        <v>11</v>
      </c>
      <c r="AU49" s="2" t="s">
        <v>13</v>
      </c>
      <c r="AV49" s="2" t="s">
        <v>14</v>
      </c>
      <c r="AW49" s="2" t="s">
        <v>11</v>
      </c>
      <c r="AX49" s="2" t="s">
        <v>14</v>
      </c>
      <c r="AY49" s="2" t="s">
        <v>11</v>
      </c>
      <c r="AZ49" s="2" t="s">
        <v>13</v>
      </c>
      <c r="BA49" s="2" t="s">
        <v>11</v>
      </c>
      <c r="BB49" s="2" t="s">
        <v>13</v>
      </c>
      <c r="BC49" s="2" t="s">
        <v>14</v>
      </c>
      <c r="BD49" s="2" t="s">
        <v>14</v>
      </c>
      <c r="BE49" s="2" t="s">
        <v>11</v>
      </c>
      <c r="BF49" s="2" t="s">
        <v>13</v>
      </c>
      <c r="BG49" s="2" t="s">
        <v>11</v>
      </c>
      <c r="BH49" s="2" t="s">
        <v>13</v>
      </c>
      <c r="BI49" s="2" t="s">
        <v>14</v>
      </c>
      <c r="BJ49" s="2" t="s">
        <v>14</v>
      </c>
      <c r="BK49" s="2" t="s">
        <v>11</v>
      </c>
      <c r="BL49" s="2" t="s">
        <v>13</v>
      </c>
      <c r="BM49" s="2" t="s">
        <v>13</v>
      </c>
      <c r="BN49" s="2" t="s">
        <v>11</v>
      </c>
      <c r="BO49" s="2" t="s">
        <v>14</v>
      </c>
      <c r="BP49" s="2" t="s">
        <v>13</v>
      </c>
      <c r="BQ49" s="2" t="s">
        <v>11</v>
      </c>
      <c r="BR49" s="2" t="s">
        <v>14</v>
      </c>
      <c r="BS49" s="2" t="s">
        <v>14</v>
      </c>
      <c r="BT49" s="2" t="s">
        <v>13</v>
      </c>
      <c r="BU49" s="2" t="s">
        <v>11</v>
      </c>
      <c r="BV49" s="2" t="s">
        <v>52</v>
      </c>
      <c r="BW49" s="2"/>
    </row>
    <row r="50" spans="1:75" x14ac:dyDescent="0.3">
      <c r="A50" s="1">
        <v>46153.860115740739</v>
      </c>
      <c r="B50" s="2" t="s">
        <v>9</v>
      </c>
      <c r="C50" s="2" t="s">
        <v>15</v>
      </c>
      <c r="D50" s="2" t="s">
        <v>11</v>
      </c>
      <c r="E50" s="2" t="s">
        <v>12</v>
      </c>
      <c r="F50" s="2" t="s">
        <v>13</v>
      </c>
      <c r="G50" s="2" t="s">
        <v>14</v>
      </c>
      <c r="H50" s="2" t="s">
        <v>11</v>
      </c>
      <c r="I50" s="2" t="s">
        <v>14</v>
      </c>
      <c r="J50" s="2" t="s">
        <v>12</v>
      </c>
      <c r="K50" s="2" t="s">
        <v>13</v>
      </c>
      <c r="L50" s="2" t="s">
        <v>13</v>
      </c>
      <c r="M50" s="2" t="s">
        <v>12</v>
      </c>
      <c r="N50" s="2" t="s">
        <v>14</v>
      </c>
      <c r="O50" s="2" t="s">
        <v>11</v>
      </c>
      <c r="P50" s="2" t="s">
        <v>11</v>
      </c>
      <c r="Q50" s="2" t="s">
        <v>12</v>
      </c>
      <c r="R50" s="2" t="s">
        <v>13</v>
      </c>
      <c r="S50" s="2" t="s">
        <v>14</v>
      </c>
      <c r="T50" s="2" t="s">
        <v>11</v>
      </c>
      <c r="U50" s="2" t="s">
        <v>12</v>
      </c>
      <c r="V50" s="2" t="s">
        <v>13</v>
      </c>
      <c r="W50" s="2" t="s">
        <v>14</v>
      </c>
      <c r="X50" s="2" t="s">
        <v>14</v>
      </c>
      <c r="Y50" s="2" t="s">
        <v>13</v>
      </c>
      <c r="Z50" s="2" t="s">
        <v>12</v>
      </c>
      <c r="AA50" s="2" t="s">
        <v>11</v>
      </c>
      <c r="AB50" s="2" t="s">
        <v>13</v>
      </c>
      <c r="AC50" s="2" t="s">
        <v>14</v>
      </c>
      <c r="AD50" s="2" t="s">
        <v>11</v>
      </c>
      <c r="AE50" s="2" t="s">
        <v>12</v>
      </c>
      <c r="AF50" s="2" t="s">
        <v>13</v>
      </c>
      <c r="AG50" s="2" t="s">
        <v>14</v>
      </c>
      <c r="AH50" s="2" t="s">
        <v>12</v>
      </c>
      <c r="AI50" s="2" t="s">
        <v>11</v>
      </c>
      <c r="AJ50" s="2" t="s">
        <v>11</v>
      </c>
      <c r="AK50" s="2" t="s">
        <v>14</v>
      </c>
      <c r="AL50" s="2" t="s">
        <v>12</v>
      </c>
      <c r="AM50" s="2" t="s">
        <v>13</v>
      </c>
      <c r="AN50" s="2" t="s">
        <v>12</v>
      </c>
      <c r="AO50" s="2" t="s">
        <v>11</v>
      </c>
      <c r="AP50" s="2" t="s">
        <v>14</v>
      </c>
      <c r="AQ50" s="2" t="s">
        <v>13</v>
      </c>
      <c r="AR50" s="2" t="s">
        <v>14</v>
      </c>
      <c r="AS50" s="2" t="s">
        <v>11</v>
      </c>
      <c r="AT50" s="2" t="s">
        <v>13</v>
      </c>
      <c r="AU50" s="2" t="s">
        <v>13</v>
      </c>
      <c r="AV50" s="2" t="s">
        <v>14</v>
      </c>
      <c r="AW50" s="2" t="s">
        <v>11</v>
      </c>
      <c r="AX50" s="2" t="s">
        <v>14</v>
      </c>
      <c r="AY50" s="2" t="s">
        <v>11</v>
      </c>
      <c r="AZ50" s="2" t="s">
        <v>13</v>
      </c>
      <c r="BA50" s="2" t="s">
        <v>11</v>
      </c>
      <c r="BB50" s="2" t="s">
        <v>13</v>
      </c>
      <c r="BC50" s="2" t="s">
        <v>14</v>
      </c>
      <c r="BD50" s="2" t="s">
        <v>14</v>
      </c>
      <c r="BE50" s="2" t="s">
        <v>11</v>
      </c>
      <c r="BF50" s="2" t="s">
        <v>13</v>
      </c>
      <c r="BG50" s="2" t="s">
        <v>11</v>
      </c>
      <c r="BH50" s="2" t="s">
        <v>14</v>
      </c>
      <c r="BI50" s="2" t="s">
        <v>13</v>
      </c>
      <c r="BJ50" s="2" t="s">
        <v>13</v>
      </c>
      <c r="BK50" s="2" t="s">
        <v>11</v>
      </c>
      <c r="BL50" s="2" t="s">
        <v>14</v>
      </c>
      <c r="BM50" s="2" t="s">
        <v>14</v>
      </c>
      <c r="BN50" s="2" t="s">
        <v>11</v>
      </c>
      <c r="BO50" s="2" t="s">
        <v>13</v>
      </c>
      <c r="BP50" s="2" t="s">
        <v>11</v>
      </c>
      <c r="BQ50" s="2" t="s">
        <v>13</v>
      </c>
      <c r="BR50" s="2" t="s">
        <v>14</v>
      </c>
      <c r="BS50" s="2" t="s">
        <v>13</v>
      </c>
      <c r="BT50" s="2" t="s">
        <v>11</v>
      </c>
      <c r="BU50" s="2" t="s">
        <v>14</v>
      </c>
      <c r="BV50" s="2" t="s">
        <v>53</v>
      </c>
      <c r="BW50" s="2"/>
    </row>
    <row r="51" spans="1:75" x14ac:dyDescent="0.3">
      <c r="A51" s="1">
        <v>46153.892800925925</v>
      </c>
      <c r="B51" s="2" t="s">
        <v>23</v>
      </c>
      <c r="C51" s="2" t="s">
        <v>15</v>
      </c>
      <c r="D51" s="2" t="s">
        <v>11</v>
      </c>
      <c r="E51" s="2" t="s">
        <v>12</v>
      </c>
      <c r="F51" s="2" t="s">
        <v>13</v>
      </c>
      <c r="G51" s="2" t="s">
        <v>14</v>
      </c>
      <c r="H51" s="2" t="s">
        <v>13</v>
      </c>
      <c r="I51" s="2" t="s">
        <v>14</v>
      </c>
      <c r="J51" s="2" t="s">
        <v>12</v>
      </c>
      <c r="K51" s="2" t="s">
        <v>11</v>
      </c>
      <c r="L51" s="2" t="s">
        <v>14</v>
      </c>
      <c r="M51" s="2" t="s">
        <v>13</v>
      </c>
      <c r="N51" s="2" t="s">
        <v>12</v>
      </c>
      <c r="O51" s="2" t="s">
        <v>11</v>
      </c>
      <c r="P51" s="2" t="s">
        <v>11</v>
      </c>
      <c r="Q51" s="2" t="s">
        <v>14</v>
      </c>
      <c r="R51" s="2" t="s">
        <v>13</v>
      </c>
      <c r="S51" s="2" t="s">
        <v>12</v>
      </c>
      <c r="T51" s="2" t="s">
        <v>11</v>
      </c>
      <c r="U51" s="2" t="s">
        <v>12</v>
      </c>
      <c r="V51" s="2" t="s">
        <v>14</v>
      </c>
      <c r="W51" s="2" t="s">
        <v>13</v>
      </c>
      <c r="X51" s="2" t="s">
        <v>14</v>
      </c>
      <c r="Y51" s="2" t="s">
        <v>13</v>
      </c>
      <c r="Z51" s="2" t="s">
        <v>12</v>
      </c>
      <c r="AA51" s="2" t="s">
        <v>11</v>
      </c>
      <c r="AB51" s="2" t="s">
        <v>13</v>
      </c>
      <c r="AC51" s="2" t="s">
        <v>14</v>
      </c>
      <c r="AD51" s="2" t="s">
        <v>11</v>
      </c>
      <c r="AE51" s="2" t="s">
        <v>12</v>
      </c>
      <c r="AF51" s="2" t="s">
        <v>14</v>
      </c>
      <c r="AG51" s="2" t="s">
        <v>13</v>
      </c>
      <c r="AH51" s="2" t="s">
        <v>12</v>
      </c>
      <c r="AI51" s="2" t="s">
        <v>11</v>
      </c>
      <c r="AJ51" s="2" t="s">
        <v>13</v>
      </c>
      <c r="AK51" s="2" t="s">
        <v>12</v>
      </c>
      <c r="AL51" s="2" t="s">
        <v>14</v>
      </c>
      <c r="AM51" s="2" t="s">
        <v>11</v>
      </c>
      <c r="AN51" s="2" t="s">
        <v>14</v>
      </c>
      <c r="AO51" s="2" t="s">
        <v>11</v>
      </c>
      <c r="AP51" s="2" t="s">
        <v>12</v>
      </c>
      <c r="AQ51" s="2" t="s">
        <v>13</v>
      </c>
      <c r="AR51" s="2" t="s">
        <v>14</v>
      </c>
      <c r="AS51" s="2" t="s">
        <v>13</v>
      </c>
      <c r="AT51" s="2" t="s">
        <v>11</v>
      </c>
      <c r="AU51" s="2" t="s">
        <v>14</v>
      </c>
      <c r="AV51" s="2" t="s">
        <v>13</v>
      </c>
      <c r="AW51" s="2" t="s">
        <v>11</v>
      </c>
      <c r="AX51" s="2" t="s">
        <v>14</v>
      </c>
      <c r="AY51" s="2" t="s">
        <v>11</v>
      </c>
      <c r="AZ51" s="2" t="s">
        <v>13</v>
      </c>
      <c r="BA51" s="2" t="s">
        <v>13</v>
      </c>
      <c r="BB51" s="2" t="s">
        <v>11</v>
      </c>
      <c r="BC51" s="2" t="s">
        <v>14</v>
      </c>
      <c r="BD51" s="2" t="s">
        <v>14</v>
      </c>
      <c r="BE51" s="2" t="s">
        <v>11</v>
      </c>
      <c r="BF51" s="2" t="s">
        <v>13</v>
      </c>
      <c r="BG51" s="2" t="s">
        <v>11</v>
      </c>
      <c r="BH51" s="2" t="s">
        <v>14</v>
      </c>
      <c r="BI51" s="2" t="s">
        <v>13</v>
      </c>
      <c r="BJ51" s="2" t="s">
        <v>14</v>
      </c>
      <c r="BK51" s="2" t="s">
        <v>13</v>
      </c>
      <c r="BL51" s="2" t="s">
        <v>11</v>
      </c>
      <c r="BM51" s="2" t="s">
        <v>14</v>
      </c>
      <c r="BN51" s="2" t="s">
        <v>11</v>
      </c>
      <c r="BO51" s="2" t="s">
        <v>13</v>
      </c>
      <c r="BP51" s="2" t="s">
        <v>14</v>
      </c>
      <c r="BQ51" s="2" t="s">
        <v>11</v>
      </c>
      <c r="BR51" s="2" t="s">
        <v>13</v>
      </c>
      <c r="BS51" s="2" t="s">
        <v>13</v>
      </c>
      <c r="BT51" s="2" t="s">
        <v>11</v>
      </c>
      <c r="BU51" s="2" t="s">
        <v>14</v>
      </c>
      <c r="BV51" s="2" t="s">
        <v>54</v>
      </c>
      <c r="BW51" s="2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A02CF-15A8-420D-9AC6-6BC6FCA9CD6F}">
  <sheetPr codeName="Sheet3"/>
  <dimension ref="B2:L56"/>
  <sheetViews>
    <sheetView workbookViewId="0">
      <selection activeCell="B2" sqref="B2:D10"/>
    </sheetView>
  </sheetViews>
  <sheetFormatPr defaultRowHeight="14.4" x14ac:dyDescent="0.3"/>
  <cols>
    <col min="2" max="2" width="21.88671875" customWidth="1"/>
    <col min="9" max="9" width="23" customWidth="1"/>
  </cols>
  <sheetData>
    <row r="2" spans="2:12" x14ac:dyDescent="0.3">
      <c r="B2" t="s">
        <v>60</v>
      </c>
      <c r="D2">
        <v>50</v>
      </c>
    </row>
    <row r="6" spans="2:12" x14ac:dyDescent="0.3">
      <c r="B6" t="s">
        <v>61</v>
      </c>
      <c r="D6">
        <f>COUNTIF(Table1[How old are you?],"18 - 24 years old")</f>
        <v>27</v>
      </c>
    </row>
    <row r="7" spans="2:12" x14ac:dyDescent="0.3">
      <c r="B7" t="s">
        <v>62</v>
      </c>
      <c r="D7">
        <f>COUNTIF(Table1[How old are you?],"&lt;&gt;18 - 24 years old")</f>
        <v>23</v>
      </c>
    </row>
    <row r="9" spans="2:12" x14ac:dyDescent="0.3">
      <c r="B9" t="s">
        <v>63</v>
      </c>
      <c r="D9">
        <f>COUNTIF(Table1[Do you have any experience in creating/designing art?], "No experience")</f>
        <v>29</v>
      </c>
    </row>
    <row r="10" spans="2:12" x14ac:dyDescent="0.3">
      <c r="B10" t="s">
        <v>64</v>
      </c>
      <c r="D10">
        <f>COUNTIF(Table1[Do you have any experience in creating/designing art?], "&lt;&gt;No experience")</f>
        <v>21</v>
      </c>
    </row>
    <row r="13" spans="2:12" x14ac:dyDescent="0.3">
      <c r="B13" t="s">
        <v>135</v>
      </c>
    </row>
    <row r="15" spans="2:12" x14ac:dyDescent="0.3">
      <c r="B15" t="s">
        <v>137</v>
      </c>
      <c r="I15" t="s">
        <v>138</v>
      </c>
    </row>
    <row r="16" spans="2:12" x14ac:dyDescent="0.3">
      <c r="B16" t="s">
        <v>136</v>
      </c>
      <c r="C16" t="s">
        <v>11</v>
      </c>
      <c r="D16" t="s">
        <v>13</v>
      </c>
      <c r="E16" t="s">
        <v>14</v>
      </c>
      <c r="F16" t="s">
        <v>12</v>
      </c>
      <c r="I16" t="s">
        <v>136</v>
      </c>
      <c r="J16" t="s">
        <v>11</v>
      </c>
      <c r="K16" t="s">
        <v>13</v>
      </c>
      <c r="L16" t="s">
        <v>14</v>
      </c>
    </row>
    <row r="17" spans="2:12" x14ac:dyDescent="0.3">
      <c r="B17" t="str" cm="1">
        <f t="array" ref="B17">_xlfn.LET(_xlpm.n,ROW()-17,_xlpm.grp,INT(_xlpm.n/4),_xlpm.opt,CHAR(65+MOD(_xlpm.n,4)),_xlpm.seq,{1;3;5;7;9;2;4;6;8;10},_xlpm.q,INDEX(_xlpm.seq,_xlpm.grp+1),_xlpm.opt &amp; IF(_xlpm.q=1,""," "&amp;_xlpm.q))</f>
        <v>A</v>
      </c>
      <c r="C17">
        <f>COUNTIF(INDEX(Table1[],,MATCH($B17,Table1[#Headers],0)),C$16)</f>
        <v>12</v>
      </c>
      <c r="D17">
        <f>COUNTIF(INDEX(Table1[],,MATCH($B17,Table1[#Headers],0)),D$16)</f>
        <v>17</v>
      </c>
      <c r="E17">
        <f>COUNTIF(INDEX(Table1[],,MATCH($B17,Table1[#Headers],0)),E$16)</f>
        <v>13</v>
      </c>
      <c r="F17">
        <f>COUNTIF(INDEX(Table1[],,MATCH($B17,Table1[#Headers],0)),F$16)</f>
        <v>8</v>
      </c>
      <c r="I17" t="str">
        <f>CHAR(65+MOD(ROW()-17,3))&amp; " " &amp;(10+INT((ROW()-17)/3)+1)</f>
        <v>A 11</v>
      </c>
      <c r="J17">
        <f>COUNTIF(INDEX(Table1[],,MATCH($I17,Table1[#Headers],0)), J$16)</f>
        <v>4</v>
      </c>
      <c r="K17">
        <f>COUNTIF(INDEX(Table1[],,MATCH($I17,Table1[#Headers],0)), K$16)</f>
        <v>10</v>
      </c>
      <c r="L17">
        <f>COUNTIF(INDEX(Table1[],,MATCH($I17,Table1[#Headers],0)), L$16)</f>
        <v>36</v>
      </c>
    </row>
    <row r="18" spans="2:12" x14ac:dyDescent="0.3">
      <c r="B18" t="str" cm="1">
        <f t="array" ref="B18">_xlfn.LET(_xlpm.n,ROW()-17,_xlpm.grp,INT(_xlpm.n/4),_xlpm.opt,CHAR(65+MOD(_xlpm.n,4)),_xlpm.seq,{1;3;5;7;9;2;4;6;8;10},_xlpm.q,INDEX(_xlpm.seq,_xlpm.grp+1),_xlpm.opt &amp; IF(_xlpm.q=1,""," "&amp;_xlpm.q))</f>
        <v>B</v>
      </c>
      <c r="C18">
        <f>COUNTIF(INDEX(Table1[],,MATCH($B18,Table1[#Headers],0)),C$16)</f>
        <v>10</v>
      </c>
      <c r="D18">
        <f>COUNTIF(INDEX(Table1[],,MATCH($B18,Table1[#Headers],0)),D$16)</f>
        <v>3</v>
      </c>
      <c r="E18">
        <f>COUNTIF(INDEX(Table1[],,MATCH($B18,Table1[#Headers],0)),E$16)</f>
        <v>6</v>
      </c>
      <c r="F18">
        <f>COUNTIF(INDEX(Table1[],,MATCH($B18,Table1[#Headers],0)),F$16)</f>
        <v>31</v>
      </c>
      <c r="I18" t="str">
        <f t="shared" ref="I18:I45" si="0">CHAR(65+MOD(ROW()-17,3))&amp; " " &amp;(10+INT((ROW()-17)/3)+1)</f>
        <v>B 11</v>
      </c>
      <c r="J18">
        <f>COUNTIF(INDEX(Table1[],,MATCH($I18,Table1[#Headers],0)), J$16)</f>
        <v>12</v>
      </c>
      <c r="K18">
        <f>COUNTIF(INDEX(Table1[],,MATCH($I18,Table1[#Headers],0)), K$16)</f>
        <v>32</v>
      </c>
      <c r="L18">
        <f>COUNTIF(INDEX(Table1[],,MATCH($I18,Table1[#Headers],0)), L$16)</f>
        <v>6</v>
      </c>
    </row>
    <row r="19" spans="2:12" x14ac:dyDescent="0.3">
      <c r="B19" t="str" cm="1">
        <f t="array" ref="B19">_xlfn.LET(_xlpm.n,ROW()-17,_xlpm.grp,INT(_xlpm.n/4),_xlpm.opt,CHAR(65+MOD(_xlpm.n,4)),_xlpm.seq,{1;3;5;7;9;2;4;6;8;10},_xlpm.q,INDEX(_xlpm.seq,_xlpm.grp+1),_xlpm.opt &amp; IF(_xlpm.q=1,""," "&amp;_xlpm.q))</f>
        <v>C</v>
      </c>
      <c r="C19">
        <f>COUNTIF(INDEX(Table1[],,MATCH($B19,Table1[#Headers],0)),C$16)</f>
        <v>10</v>
      </c>
      <c r="D19">
        <f>COUNTIF(INDEX(Table1[],,MATCH($B19,Table1[#Headers],0)),D$16)</f>
        <v>15</v>
      </c>
      <c r="E19">
        <f>COUNTIF(INDEX(Table1[],,MATCH($B19,Table1[#Headers],0)),E$16)</f>
        <v>13</v>
      </c>
      <c r="F19">
        <f>COUNTIF(INDEX(Table1[],,MATCH($B19,Table1[#Headers],0)),F$16)</f>
        <v>12</v>
      </c>
      <c r="I19" t="str">
        <f t="shared" si="0"/>
        <v>C 11</v>
      </c>
      <c r="J19">
        <f>COUNTIF(INDEX(Table1[],,MATCH($I19,Table1[#Headers],0)), J$16)</f>
        <v>32</v>
      </c>
      <c r="K19">
        <f>COUNTIF(INDEX(Table1[],,MATCH($I19,Table1[#Headers],0)), K$16)</f>
        <v>11</v>
      </c>
      <c r="L19">
        <f>COUNTIF(INDEX(Table1[],,MATCH($I19,Table1[#Headers],0)), L$16)</f>
        <v>7</v>
      </c>
    </row>
    <row r="20" spans="2:12" x14ac:dyDescent="0.3">
      <c r="B20" t="str" cm="1">
        <f t="array" ref="B20">_xlfn.LET(_xlpm.n,ROW()-17,_xlpm.grp,INT(_xlpm.n/4),_xlpm.opt,CHAR(65+MOD(_xlpm.n,4)),_xlpm.seq,{1;3;5;7;9;2;4;6;8;10},_xlpm.q,INDEX(_xlpm.seq,_xlpm.grp+1),_xlpm.opt &amp; IF(_xlpm.q=1,""," "&amp;_xlpm.q))</f>
        <v>D</v>
      </c>
      <c r="C20">
        <f>COUNTIF(INDEX(Table1[],,MATCH($B20,Table1[#Headers],0)),C$16)</f>
        <v>15</v>
      </c>
      <c r="D20">
        <f>COUNTIF(INDEX(Table1[],,MATCH($B20,Table1[#Headers],0)),D$16)</f>
        <v>14</v>
      </c>
      <c r="E20">
        <f>COUNTIF(INDEX(Table1[],,MATCH($B20,Table1[#Headers],0)),E$16)</f>
        <v>15</v>
      </c>
      <c r="F20">
        <f>COUNTIF(INDEX(Table1[],,MATCH($B20,Table1[#Headers],0)),F$16)</f>
        <v>6</v>
      </c>
      <c r="I20" t="str">
        <f t="shared" si="0"/>
        <v>A 12</v>
      </c>
      <c r="J20">
        <f>COUNTIF(INDEX(Table1[],,MATCH($I20,Table1[#Headers],0)), J$16)</f>
        <v>10</v>
      </c>
      <c r="K20">
        <f>COUNTIF(INDEX(Table1[],,MATCH($I20,Table1[#Headers],0)), K$16)</f>
        <v>14</v>
      </c>
      <c r="L20">
        <f>COUNTIF(INDEX(Table1[],,MATCH($I20,Table1[#Headers],0)), L$16)</f>
        <v>26</v>
      </c>
    </row>
    <row r="21" spans="2:12" x14ac:dyDescent="0.3">
      <c r="B21" t="str" cm="1">
        <f t="array" ref="B21">_xlfn.LET(_xlpm.n,ROW()-17,_xlpm.grp,INT(_xlpm.n/4),_xlpm.opt,CHAR(65+MOD(_xlpm.n,4)),_xlpm.seq,{1;3;5;7;9;2;4;6;8;10},_xlpm.q,INDEX(_xlpm.seq,_xlpm.grp+1),_xlpm.opt &amp; IF(_xlpm.q=1,""," "&amp;_xlpm.q))</f>
        <v>A 3</v>
      </c>
      <c r="C21">
        <f>COUNTIF(INDEX(Table1[],,MATCH($B21,Table1[#Headers],0)),C$16)</f>
        <v>9</v>
      </c>
      <c r="D21">
        <f>COUNTIF(INDEX(Table1[],,MATCH($B21,Table1[#Headers],0)),D$16)</f>
        <v>11</v>
      </c>
      <c r="E21">
        <f>COUNTIF(INDEX(Table1[],,MATCH($B21,Table1[#Headers],0)),E$16)</f>
        <v>11</v>
      </c>
      <c r="F21">
        <f>COUNTIF(INDEX(Table1[],,MATCH($B21,Table1[#Headers],0)),F$16)</f>
        <v>19</v>
      </c>
      <c r="I21" t="str">
        <f t="shared" si="0"/>
        <v>B 12</v>
      </c>
      <c r="J21">
        <f>COUNTIF(INDEX(Table1[],,MATCH($I21,Table1[#Headers],0)), J$16)</f>
        <v>9</v>
      </c>
      <c r="K21">
        <f>COUNTIF(INDEX(Table1[],,MATCH($I21,Table1[#Headers],0)), K$16)</f>
        <v>27</v>
      </c>
      <c r="L21">
        <f>COUNTIF(INDEX(Table1[],,MATCH($I21,Table1[#Headers],0)), L$16)</f>
        <v>14</v>
      </c>
    </row>
    <row r="22" spans="2:12" x14ac:dyDescent="0.3">
      <c r="B22" t="str" cm="1">
        <f t="array" ref="B22">_xlfn.LET(_xlpm.n,ROW()-17,_xlpm.grp,INT(_xlpm.n/4),_xlpm.opt,CHAR(65+MOD(_xlpm.n,4)),_xlpm.seq,{1;3;5;7;9;2;4;6;8;10},_xlpm.q,INDEX(_xlpm.seq,_xlpm.grp+1),_xlpm.opt &amp; IF(_xlpm.q=1,""," "&amp;_xlpm.q))</f>
        <v>B 3</v>
      </c>
      <c r="C22">
        <f>COUNTIF(INDEX(Table1[],,MATCH($B22,Table1[#Headers],0)),C$16)</f>
        <v>8</v>
      </c>
      <c r="D22">
        <f>COUNTIF(INDEX(Table1[],,MATCH($B22,Table1[#Headers],0)),D$16)</f>
        <v>18</v>
      </c>
      <c r="E22">
        <f>COUNTIF(INDEX(Table1[],,MATCH($B22,Table1[#Headers],0)),E$16)</f>
        <v>13</v>
      </c>
      <c r="F22">
        <f>COUNTIF(INDEX(Table1[],,MATCH($B22,Table1[#Headers],0)),F$16)</f>
        <v>11</v>
      </c>
      <c r="I22" t="str">
        <f t="shared" si="0"/>
        <v>C 12</v>
      </c>
      <c r="J22">
        <f>COUNTIF(INDEX(Table1[],,MATCH($I22,Table1[#Headers],0)), J$16)</f>
        <v>29</v>
      </c>
      <c r="K22">
        <f>COUNTIF(INDEX(Table1[],,MATCH($I22,Table1[#Headers],0)), K$16)</f>
        <v>9</v>
      </c>
      <c r="L22">
        <f>COUNTIF(INDEX(Table1[],,MATCH($I22,Table1[#Headers],0)), L$16)</f>
        <v>12</v>
      </c>
    </row>
    <row r="23" spans="2:12" x14ac:dyDescent="0.3">
      <c r="B23" t="str" cm="1">
        <f t="array" ref="B23">_xlfn.LET(_xlpm.n,ROW()-17,_xlpm.grp,INT(_xlpm.n/4),_xlpm.opt,CHAR(65+MOD(_xlpm.n,4)),_xlpm.seq,{1;3;5;7;9;2;4;6;8;10},_xlpm.q,INDEX(_xlpm.seq,_xlpm.grp+1),_xlpm.opt &amp; IF(_xlpm.q=1,""," "&amp;_xlpm.q))</f>
        <v>C 3</v>
      </c>
      <c r="C23">
        <f>COUNTIF(INDEX(Table1[],,MATCH($B23,Table1[#Headers],0)),C$16)</f>
        <v>12</v>
      </c>
      <c r="D23">
        <f>COUNTIF(INDEX(Table1[],,MATCH($B23,Table1[#Headers],0)),D$16)</f>
        <v>11</v>
      </c>
      <c r="E23">
        <f>COUNTIF(INDEX(Table1[],,MATCH($B23,Table1[#Headers],0)),E$16)</f>
        <v>16</v>
      </c>
      <c r="F23">
        <f>COUNTIF(INDEX(Table1[],,MATCH($B23,Table1[#Headers],0)),F$16)</f>
        <v>11</v>
      </c>
      <c r="I23" t="str">
        <f t="shared" si="0"/>
        <v>A 13</v>
      </c>
      <c r="J23">
        <f>COUNTIF(INDEX(Table1[],,MATCH($I23,Table1[#Headers],0)), J$16)</f>
        <v>12</v>
      </c>
      <c r="K23">
        <f>COUNTIF(INDEX(Table1[],,MATCH($I23,Table1[#Headers],0)), K$16)</f>
        <v>25</v>
      </c>
      <c r="L23">
        <f>COUNTIF(INDEX(Table1[],,MATCH($I23,Table1[#Headers],0)), L$16)</f>
        <v>13</v>
      </c>
    </row>
    <row r="24" spans="2:12" x14ac:dyDescent="0.3">
      <c r="B24" t="str" cm="1">
        <f t="array" ref="B24">_xlfn.LET(_xlpm.n,ROW()-17,_xlpm.grp,INT(_xlpm.n/4),_xlpm.opt,CHAR(65+MOD(_xlpm.n,4)),_xlpm.seq,{1;3;5;7;9;2;4;6;8;10},_xlpm.q,INDEX(_xlpm.seq,_xlpm.grp+1),_xlpm.opt &amp; IF(_xlpm.q=1,""," "&amp;_xlpm.q))</f>
        <v>D 3</v>
      </c>
      <c r="C24">
        <f>COUNTIF(INDEX(Table1[],,MATCH($B24,Table1[#Headers],0)),C$16)</f>
        <v>22</v>
      </c>
      <c r="D24">
        <f>COUNTIF(INDEX(Table1[],,MATCH($B24,Table1[#Headers],0)),D$16)</f>
        <v>9</v>
      </c>
      <c r="E24">
        <f>COUNTIF(INDEX(Table1[],,MATCH($B24,Table1[#Headers],0)),E$16)</f>
        <v>11</v>
      </c>
      <c r="F24">
        <f>COUNTIF(INDEX(Table1[],,MATCH($B24,Table1[#Headers],0)),F$16)</f>
        <v>8</v>
      </c>
      <c r="I24" t="str">
        <f t="shared" si="0"/>
        <v>B 13</v>
      </c>
      <c r="J24">
        <f>COUNTIF(INDEX(Table1[],,MATCH($I24,Table1[#Headers],0)), J$16)</f>
        <v>30</v>
      </c>
      <c r="K24">
        <f>COUNTIF(INDEX(Table1[],,MATCH($I24,Table1[#Headers],0)), K$16)</f>
        <v>7</v>
      </c>
      <c r="L24">
        <f>COUNTIF(INDEX(Table1[],,MATCH($I24,Table1[#Headers],0)), L$16)</f>
        <v>13</v>
      </c>
    </row>
    <row r="25" spans="2:12" x14ac:dyDescent="0.3">
      <c r="B25" t="str" cm="1">
        <f t="array" ref="B25">_xlfn.LET(_xlpm.n,ROW()-17,_xlpm.grp,INT(_xlpm.n/4),_xlpm.opt,CHAR(65+MOD(_xlpm.n,4)),_xlpm.seq,{1;3;5;7;9;2;4;6;8;10},_xlpm.q,INDEX(_xlpm.seq,_xlpm.grp+1),_xlpm.opt &amp; IF(_xlpm.q=1,""," "&amp;_xlpm.q))</f>
        <v>A 5</v>
      </c>
      <c r="C25">
        <f>COUNTIF(INDEX(Table1[],,MATCH($B25,Table1[#Headers],0)),C$16)</f>
        <v>39</v>
      </c>
      <c r="D25">
        <f>COUNTIF(INDEX(Table1[],,MATCH($B25,Table1[#Headers],0)),D$16)</f>
        <v>4</v>
      </c>
      <c r="E25">
        <f>COUNTIF(INDEX(Table1[],,MATCH($B25,Table1[#Headers],0)),E$16)</f>
        <v>6</v>
      </c>
      <c r="F25">
        <f>COUNTIF(INDEX(Table1[],,MATCH($B25,Table1[#Headers],0)),F$16)</f>
        <v>1</v>
      </c>
      <c r="I25" t="str">
        <f t="shared" si="0"/>
        <v>C 13</v>
      </c>
      <c r="J25">
        <f>COUNTIF(INDEX(Table1[],,MATCH($I25,Table1[#Headers],0)), J$16)</f>
        <v>9</v>
      </c>
      <c r="K25">
        <f>COUNTIF(INDEX(Table1[],,MATCH($I25,Table1[#Headers],0)), K$16)</f>
        <v>20</v>
      </c>
      <c r="L25">
        <f>COUNTIF(INDEX(Table1[],,MATCH($I25,Table1[#Headers],0)), L$16)</f>
        <v>21</v>
      </c>
    </row>
    <row r="26" spans="2:12" x14ac:dyDescent="0.3">
      <c r="B26" t="str" cm="1">
        <f t="array" ref="B26">_xlfn.LET(_xlpm.n,ROW()-17,_xlpm.grp,INT(_xlpm.n/4),_xlpm.opt,CHAR(65+MOD(_xlpm.n,4)),_xlpm.seq,{1;3;5;7;9;2;4;6;8;10},_xlpm.q,INDEX(_xlpm.seq,_xlpm.grp+1),_xlpm.opt &amp; IF(_xlpm.q=1,""," "&amp;_xlpm.q))</f>
        <v>B 5</v>
      </c>
      <c r="C26">
        <f>COUNTIF(INDEX(Table1[],,MATCH($B26,Table1[#Headers],0)),C$16)</f>
        <v>5</v>
      </c>
      <c r="D26">
        <f>COUNTIF(INDEX(Table1[],,MATCH($B26,Table1[#Headers],0)),D$16)</f>
        <v>5</v>
      </c>
      <c r="E26">
        <f>COUNTIF(INDEX(Table1[],,MATCH($B26,Table1[#Headers],0)),E$16)</f>
        <v>8</v>
      </c>
      <c r="F26">
        <f>COUNTIF(INDEX(Table1[],,MATCH($B26,Table1[#Headers],0)),F$16)</f>
        <v>32</v>
      </c>
      <c r="I26" t="str">
        <f t="shared" si="0"/>
        <v>A 14</v>
      </c>
      <c r="J26">
        <f>COUNTIF(INDEX(Table1[],,MATCH($I26,Table1[#Headers],0)), J$16)</f>
        <v>35</v>
      </c>
      <c r="K26">
        <f>COUNTIF(INDEX(Table1[],,MATCH($I26,Table1[#Headers],0)), K$16)</f>
        <v>8</v>
      </c>
      <c r="L26">
        <f>COUNTIF(INDEX(Table1[],,MATCH($I26,Table1[#Headers],0)), L$16)</f>
        <v>7</v>
      </c>
    </row>
    <row r="27" spans="2:12" x14ac:dyDescent="0.3">
      <c r="B27" t="str" cm="1">
        <f t="array" ref="B27">_xlfn.LET(_xlpm.n,ROW()-17,_xlpm.grp,INT(_xlpm.n/4),_xlpm.opt,CHAR(65+MOD(_xlpm.n,4)),_xlpm.seq,{1;3;5;7;9;2;4;6;8;10},_xlpm.q,INDEX(_xlpm.seq,_xlpm.grp+1),_xlpm.opt &amp; IF(_xlpm.q=1,""," "&amp;_xlpm.q))</f>
        <v>C 5</v>
      </c>
      <c r="C27">
        <f>COUNTIF(INDEX(Table1[],,MATCH($B27,Table1[#Headers],0)),C$16)</f>
        <v>5</v>
      </c>
      <c r="D27">
        <f>COUNTIF(INDEX(Table1[],,MATCH($B27,Table1[#Headers],0)),D$16)</f>
        <v>31</v>
      </c>
      <c r="E27">
        <f>COUNTIF(INDEX(Table1[],,MATCH($B27,Table1[#Headers],0)),E$16)</f>
        <v>8</v>
      </c>
      <c r="F27">
        <f>COUNTIF(INDEX(Table1[],,MATCH($B27,Table1[#Headers],0)),F$16)</f>
        <v>6</v>
      </c>
      <c r="I27" t="str">
        <f t="shared" si="0"/>
        <v>B 14</v>
      </c>
      <c r="J27">
        <f>COUNTIF(INDEX(Table1[],,MATCH($I27,Table1[#Headers],0)), J$16)</f>
        <v>13</v>
      </c>
      <c r="K27">
        <f>COUNTIF(INDEX(Table1[],,MATCH($I27,Table1[#Headers],0)), K$16)</f>
        <v>35</v>
      </c>
      <c r="L27">
        <f>COUNTIF(INDEX(Table1[],,MATCH($I27,Table1[#Headers],0)), L$16)</f>
        <v>2</v>
      </c>
    </row>
    <row r="28" spans="2:12" x14ac:dyDescent="0.3">
      <c r="B28" t="str" cm="1">
        <f t="array" ref="B28">_xlfn.LET(_xlpm.n,ROW()-17,_xlpm.grp,INT(_xlpm.n/4),_xlpm.opt,CHAR(65+MOD(_xlpm.n,4)),_xlpm.seq,{1;3;5;7;9;2;4;6;8;10},_xlpm.q,INDEX(_xlpm.seq,_xlpm.grp+1),_xlpm.opt &amp; IF(_xlpm.q=1,""," "&amp;_xlpm.q))</f>
        <v>D 5</v>
      </c>
      <c r="C28">
        <f>COUNTIF(INDEX(Table1[],,MATCH($B28,Table1[#Headers],0)),C$16)</f>
        <v>4</v>
      </c>
      <c r="D28">
        <f>COUNTIF(INDEX(Table1[],,MATCH($B28,Table1[#Headers],0)),D$16)</f>
        <v>9</v>
      </c>
      <c r="E28">
        <f>COUNTIF(INDEX(Table1[],,MATCH($B28,Table1[#Headers],0)),E$16)</f>
        <v>27</v>
      </c>
      <c r="F28">
        <f>COUNTIF(INDEX(Table1[],,MATCH($B28,Table1[#Headers],0)),F$16)</f>
        <v>10</v>
      </c>
      <c r="I28" t="str">
        <f t="shared" si="0"/>
        <v>C 14</v>
      </c>
      <c r="J28">
        <f>COUNTIF(INDEX(Table1[],,MATCH($I28,Table1[#Headers],0)), J$16)</f>
        <v>7</v>
      </c>
      <c r="K28">
        <f>COUNTIF(INDEX(Table1[],,MATCH($I28,Table1[#Headers],0)), K$16)</f>
        <v>5</v>
      </c>
      <c r="L28">
        <f>COUNTIF(INDEX(Table1[],,MATCH($I28,Table1[#Headers],0)), L$16)</f>
        <v>38</v>
      </c>
    </row>
    <row r="29" spans="2:12" x14ac:dyDescent="0.3">
      <c r="B29" t="str" cm="1">
        <f t="array" ref="B29">_xlfn.LET(_xlpm.n,ROW()-17,_xlpm.grp,INT(_xlpm.n/4),_xlpm.opt,CHAR(65+MOD(_xlpm.n,4)),_xlpm.seq,{1;3;5;7;9;2;4;6;8;10},_xlpm.q,INDEX(_xlpm.seq,_xlpm.grp+1),_xlpm.opt &amp; IF(_xlpm.q=1,""," "&amp;_xlpm.q))</f>
        <v>A 7</v>
      </c>
      <c r="C29">
        <f>COUNTIF(INDEX(Table1[],,MATCH($B29,Table1[#Headers],0)),C$16)</f>
        <v>21</v>
      </c>
      <c r="D29">
        <f>COUNTIF(INDEX(Table1[],,MATCH($B29,Table1[#Headers],0)),D$16)</f>
        <v>16</v>
      </c>
      <c r="E29">
        <f>COUNTIF(INDEX(Table1[],,MATCH($B29,Table1[#Headers],0)),E$16)</f>
        <v>8</v>
      </c>
      <c r="F29">
        <f>COUNTIF(INDEX(Table1[],,MATCH($B29,Table1[#Headers],0)),F$16)</f>
        <v>5</v>
      </c>
      <c r="I29" t="str">
        <f t="shared" si="0"/>
        <v>A 15</v>
      </c>
      <c r="J29">
        <f>COUNTIF(INDEX(Table1[],,MATCH($I29,Table1[#Headers],0)), J$16)</f>
        <v>8</v>
      </c>
      <c r="K29">
        <f>COUNTIF(INDEX(Table1[],,MATCH($I29,Table1[#Headers],0)), K$16)</f>
        <v>10</v>
      </c>
      <c r="L29">
        <f>COUNTIF(INDEX(Table1[],,MATCH($I29,Table1[#Headers],0)), L$16)</f>
        <v>32</v>
      </c>
    </row>
    <row r="30" spans="2:12" x14ac:dyDescent="0.3">
      <c r="B30" t="str" cm="1">
        <f t="array" ref="B30">_xlfn.LET(_xlpm.n,ROW()-17,_xlpm.grp,INT(_xlpm.n/4),_xlpm.opt,CHAR(65+MOD(_xlpm.n,4)),_xlpm.seq,{1;3;5;7;9;2;4;6;8;10},_xlpm.q,INDEX(_xlpm.seq,_xlpm.grp+1),_xlpm.opt &amp; IF(_xlpm.q=1,""," "&amp;_xlpm.q))</f>
        <v>B 7</v>
      </c>
      <c r="C30">
        <f>COUNTIF(INDEX(Table1[],,MATCH($B30,Table1[#Headers],0)),C$16)</f>
        <v>7</v>
      </c>
      <c r="D30">
        <f>COUNTIF(INDEX(Table1[],,MATCH($B30,Table1[#Headers],0)),D$16)</f>
        <v>6</v>
      </c>
      <c r="E30">
        <f>COUNTIF(INDEX(Table1[],,MATCH($B30,Table1[#Headers],0)),E$16)</f>
        <v>11</v>
      </c>
      <c r="F30">
        <f>COUNTIF(INDEX(Table1[],,MATCH($B30,Table1[#Headers],0)),F$16)</f>
        <v>26</v>
      </c>
      <c r="I30" t="str">
        <f t="shared" si="0"/>
        <v>B 15</v>
      </c>
      <c r="J30">
        <f>COUNTIF(INDEX(Table1[],,MATCH($I30,Table1[#Headers],0)), J$16)</f>
        <v>13</v>
      </c>
      <c r="K30">
        <f>COUNTIF(INDEX(Table1[],,MATCH($I30,Table1[#Headers],0)), K$16)</f>
        <v>25</v>
      </c>
      <c r="L30">
        <f>COUNTIF(INDEX(Table1[],,MATCH($I30,Table1[#Headers],0)), L$16)</f>
        <v>12</v>
      </c>
    </row>
    <row r="31" spans="2:12" x14ac:dyDescent="0.3">
      <c r="B31" t="str" cm="1">
        <f t="array" ref="B31">_xlfn.LET(_xlpm.n,ROW()-17,_xlpm.grp,INT(_xlpm.n/4),_xlpm.opt,CHAR(65+MOD(_xlpm.n,4)),_xlpm.seq,{1;3;5;7;9;2;4;6;8;10},_xlpm.q,INDEX(_xlpm.seq,_xlpm.grp+1),_xlpm.opt &amp; IF(_xlpm.q=1,""," "&amp;_xlpm.q))</f>
        <v>C 7</v>
      </c>
      <c r="C31">
        <f>COUNTIF(INDEX(Table1[],,MATCH($B31,Table1[#Headers],0)),C$16)</f>
        <v>17</v>
      </c>
      <c r="D31">
        <f>COUNTIF(INDEX(Table1[],,MATCH($B31,Table1[#Headers],0)),D$16)</f>
        <v>21</v>
      </c>
      <c r="E31">
        <f>COUNTIF(INDEX(Table1[],,MATCH($B31,Table1[#Headers],0)),E$16)</f>
        <v>8</v>
      </c>
      <c r="F31">
        <f>COUNTIF(INDEX(Table1[],,MATCH($B31,Table1[#Headers],0)),F$16)</f>
        <v>4</v>
      </c>
      <c r="I31" t="str">
        <f t="shared" si="0"/>
        <v>C 15</v>
      </c>
      <c r="J31">
        <f>COUNTIF(INDEX(Table1[],,MATCH($I31,Table1[#Headers],0)), J$16)</f>
        <v>27</v>
      </c>
      <c r="K31">
        <f>COUNTIF(INDEX(Table1[],,MATCH($I31,Table1[#Headers],0)), K$16)</f>
        <v>14</v>
      </c>
      <c r="L31">
        <f>COUNTIF(INDEX(Table1[],,MATCH($I31,Table1[#Headers],0)), L$16)</f>
        <v>9</v>
      </c>
    </row>
    <row r="32" spans="2:12" x14ac:dyDescent="0.3">
      <c r="B32" t="str" cm="1">
        <f t="array" ref="B32">_xlfn.LET(_xlpm.n,ROW()-17,_xlpm.grp,INT(_xlpm.n/4),_xlpm.opt,CHAR(65+MOD(_xlpm.n,4)),_xlpm.seq,{1;3;5;7;9;2;4;6;8;10},_xlpm.q,INDEX(_xlpm.seq,_xlpm.grp+1),_xlpm.opt &amp; IF(_xlpm.q=1,""," "&amp;_xlpm.q))</f>
        <v>D 7</v>
      </c>
      <c r="C32">
        <f>COUNTIF(INDEX(Table1[],,MATCH($B32,Table1[#Headers],0)),C$16)</f>
        <v>2</v>
      </c>
      <c r="D32">
        <f>COUNTIF(INDEX(Table1[],,MATCH($B32,Table1[#Headers],0)),D$16)</f>
        <v>5</v>
      </c>
      <c r="E32">
        <f>COUNTIF(INDEX(Table1[],,MATCH($B32,Table1[#Headers],0)),E$16)</f>
        <v>20</v>
      </c>
      <c r="F32">
        <f>COUNTIF(INDEX(Table1[],,MATCH($B32,Table1[#Headers],0)),F$16)</f>
        <v>23</v>
      </c>
      <c r="I32" t="str">
        <f t="shared" si="0"/>
        <v>A 16</v>
      </c>
      <c r="J32">
        <f>COUNTIF(INDEX(Table1[],,MATCH($I32,Table1[#Headers],0)), J$16)</f>
        <v>32</v>
      </c>
      <c r="K32">
        <f>COUNTIF(INDEX(Table1[],,MATCH($I32,Table1[#Headers],0)), K$16)</f>
        <v>8</v>
      </c>
      <c r="L32">
        <f>COUNTIF(INDEX(Table1[],,MATCH($I32,Table1[#Headers],0)), L$16)</f>
        <v>10</v>
      </c>
    </row>
    <row r="33" spans="2:12" x14ac:dyDescent="0.3">
      <c r="B33" t="str" cm="1">
        <f t="array" ref="B33">_xlfn.LET(_xlpm.n,ROW()-17,_xlpm.grp,INT(_xlpm.n/4),_xlpm.opt,CHAR(65+MOD(_xlpm.n,4)),_xlpm.seq,{1;3;5;7;9;2;4;6;8;10},_xlpm.q,INDEX(_xlpm.seq,_xlpm.grp+1),_xlpm.opt &amp; IF(_xlpm.q=1,""," "&amp;_xlpm.q))</f>
        <v>A 9</v>
      </c>
      <c r="C33">
        <f>COUNTIF(INDEX(Table1[],,MATCH($B33,Table1[#Headers],0)),C$16)</f>
        <v>31</v>
      </c>
      <c r="D33">
        <f>COUNTIF(INDEX(Table1[],,MATCH($B33,Table1[#Headers],0)),D$16)</f>
        <v>10</v>
      </c>
      <c r="E33">
        <f>COUNTIF(INDEX(Table1[],,MATCH($B33,Table1[#Headers],0)),E$16)</f>
        <v>4</v>
      </c>
      <c r="F33">
        <f>COUNTIF(INDEX(Table1[],,MATCH($B33,Table1[#Headers],0)),F$16)</f>
        <v>5</v>
      </c>
      <c r="I33" t="str">
        <f t="shared" si="0"/>
        <v>B 16</v>
      </c>
      <c r="J33">
        <f>COUNTIF(INDEX(Table1[],,MATCH($I33,Table1[#Headers],0)), J$16)</f>
        <v>3</v>
      </c>
      <c r="K33">
        <f>COUNTIF(INDEX(Table1[],,MATCH($I33,Table1[#Headers],0)), K$16)</f>
        <v>19</v>
      </c>
      <c r="L33">
        <f>COUNTIF(INDEX(Table1[],,MATCH($I33,Table1[#Headers],0)), L$16)</f>
        <v>28</v>
      </c>
    </row>
    <row r="34" spans="2:12" x14ac:dyDescent="0.3">
      <c r="B34" t="str" cm="1">
        <f t="array" ref="B34">_xlfn.LET(_xlpm.n,ROW()-17,_xlpm.grp,INT(_xlpm.n/4),_xlpm.opt,CHAR(65+MOD(_xlpm.n,4)),_xlpm.seq,{1;3;5;7;9;2;4;6;8;10},_xlpm.q,INDEX(_xlpm.seq,_xlpm.grp+1),_xlpm.opt &amp; IF(_xlpm.q=1,""," "&amp;_xlpm.q))</f>
        <v>B 9</v>
      </c>
      <c r="C34">
        <f>COUNTIF(INDEX(Table1[],,MATCH($B34,Table1[#Headers],0)),C$16)</f>
        <v>7</v>
      </c>
      <c r="D34">
        <f>COUNTIF(INDEX(Table1[],,MATCH($B34,Table1[#Headers],0)),D$16)</f>
        <v>10</v>
      </c>
      <c r="E34">
        <f>COUNTIF(INDEX(Table1[],,MATCH($B34,Table1[#Headers],0)),E$16)</f>
        <v>10</v>
      </c>
      <c r="F34">
        <f>COUNTIF(INDEX(Table1[],,MATCH($B34,Table1[#Headers],0)),F$16)</f>
        <v>23</v>
      </c>
      <c r="I34" t="str">
        <f t="shared" si="0"/>
        <v>C 16</v>
      </c>
      <c r="J34">
        <f>COUNTIF(INDEX(Table1[],,MATCH($I34,Table1[#Headers],0)), J$16)</f>
        <v>13</v>
      </c>
      <c r="K34">
        <f>COUNTIF(INDEX(Table1[],,MATCH($I34,Table1[#Headers],0)), K$16)</f>
        <v>21</v>
      </c>
      <c r="L34">
        <f>COUNTIF(INDEX(Table1[],,MATCH($I34,Table1[#Headers],0)), L$16)</f>
        <v>16</v>
      </c>
    </row>
    <row r="35" spans="2:12" x14ac:dyDescent="0.3">
      <c r="B35" t="str" cm="1">
        <f t="array" ref="B35">_xlfn.LET(_xlpm.n,ROW()-17,_xlpm.grp,INT(_xlpm.n/4),_xlpm.opt,CHAR(65+MOD(_xlpm.n,4)),_xlpm.seq,{1;3;5;7;9;2;4;6;8;10},_xlpm.q,INDEX(_xlpm.seq,_xlpm.grp+1),_xlpm.opt &amp; IF(_xlpm.q=1,""," "&amp;_xlpm.q))</f>
        <v>C 9</v>
      </c>
      <c r="C35">
        <f>COUNTIF(INDEX(Table1[],,MATCH($B35,Table1[#Headers],0)),C$16)</f>
        <v>5</v>
      </c>
      <c r="D35">
        <f>COUNTIF(INDEX(Table1[],,MATCH($B35,Table1[#Headers],0)),D$16)</f>
        <v>18</v>
      </c>
      <c r="E35">
        <f>COUNTIF(INDEX(Table1[],,MATCH($B35,Table1[#Headers],0)),E$16)</f>
        <v>22</v>
      </c>
      <c r="F35">
        <f>COUNTIF(INDEX(Table1[],,MATCH($B35,Table1[#Headers],0)),F$16)</f>
        <v>5</v>
      </c>
      <c r="I35" t="str">
        <f t="shared" si="0"/>
        <v>A 17</v>
      </c>
      <c r="J35">
        <f>COUNTIF(INDEX(Table1[],,MATCH($I35,Table1[#Headers],0)), J$16)</f>
        <v>2</v>
      </c>
      <c r="K35">
        <f>COUNTIF(INDEX(Table1[],,MATCH($I35,Table1[#Headers],0)), K$16)</f>
        <v>13</v>
      </c>
      <c r="L35">
        <f>COUNTIF(INDEX(Table1[],,MATCH($I35,Table1[#Headers],0)), L$16)</f>
        <v>35</v>
      </c>
    </row>
    <row r="36" spans="2:12" x14ac:dyDescent="0.3">
      <c r="B36" t="str" cm="1">
        <f t="array" ref="B36">_xlfn.LET(_xlpm.n,ROW()-17,_xlpm.grp,INT(_xlpm.n/4),_xlpm.opt,CHAR(65+MOD(_xlpm.n,4)),_xlpm.seq,{1;3;5;7;9;2;4;6;8;10},_xlpm.q,INDEX(_xlpm.seq,_xlpm.grp+1),_xlpm.opt &amp; IF(_xlpm.q=1,""," "&amp;_xlpm.q))</f>
        <v>D 9</v>
      </c>
      <c r="C36">
        <f>COUNTIF(INDEX(Table1[],,MATCH($B36,Table1[#Headers],0)),C$16)</f>
        <v>4</v>
      </c>
      <c r="D36">
        <f>COUNTIF(INDEX(Table1[],,MATCH($B36,Table1[#Headers],0)),D$16)</f>
        <v>17</v>
      </c>
      <c r="E36">
        <f>COUNTIF(INDEX(Table1[],,MATCH($B36,Table1[#Headers],0)),E$16)</f>
        <v>15</v>
      </c>
      <c r="F36">
        <f>COUNTIF(INDEX(Table1[],,MATCH($B36,Table1[#Headers],0)),F$16)</f>
        <v>14</v>
      </c>
      <c r="I36" t="str">
        <f t="shared" si="0"/>
        <v>B 17</v>
      </c>
      <c r="J36">
        <f>COUNTIF(INDEX(Table1[],,MATCH($I36,Table1[#Headers],0)), J$16)</f>
        <v>30</v>
      </c>
      <c r="K36">
        <f>COUNTIF(INDEX(Table1[],,MATCH($I36,Table1[#Headers],0)), K$16)</f>
        <v>16</v>
      </c>
      <c r="L36">
        <f>COUNTIF(INDEX(Table1[],,MATCH($I36,Table1[#Headers],0)), L$16)</f>
        <v>4</v>
      </c>
    </row>
    <row r="37" spans="2:12" x14ac:dyDescent="0.3">
      <c r="B37" t="str" cm="1">
        <f t="array" ref="B37">_xlfn.LET(_xlpm.n,ROW()-17,_xlpm.grp,INT(_xlpm.n/4),_xlpm.opt,CHAR(65+MOD(_xlpm.n,4)),_xlpm.seq,{1;3;5;7;9;2;4;6;8;10},_xlpm.q,INDEX(_xlpm.seq,_xlpm.grp+1),_xlpm.opt &amp; IF(_xlpm.q=1,""," "&amp;_xlpm.q))</f>
        <v>A 2</v>
      </c>
      <c r="C37">
        <f>COUNTIF(INDEX(Table1[],,MATCH($B37,Table1[#Headers],0)),C$16)</f>
        <v>23</v>
      </c>
      <c r="D37">
        <f>COUNTIF(INDEX(Table1[],,MATCH($B37,Table1[#Headers],0)),D$16)</f>
        <v>21</v>
      </c>
      <c r="E37">
        <f>COUNTIF(INDEX(Table1[],,MATCH($B37,Table1[#Headers],0)),E$16)</f>
        <v>0</v>
      </c>
      <c r="F37">
        <f>COUNTIF(INDEX(Table1[],,MATCH($B37,Table1[#Headers],0)),F$16)</f>
        <v>6</v>
      </c>
      <c r="I37" t="str">
        <f>CHAR(65+MOD(ROW()-17,3))&amp; " " &amp;(10+INT((ROW()-17)/3)+1)</f>
        <v>C 17</v>
      </c>
      <c r="J37">
        <f>COUNTIF(INDEX(Table1[],,MATCH($I37,Table1[#Headers],0)), J$16)</f>
        <v>18</v>
      </c>
      <c r="K37">
        <f>COUNTIF(INDEX(Table1[],,MATCH($I37,Table1[#Headers],0)), K$16)</f>
        <v>21</v>
      </c>
      <c r="L37">
        <f>COUNTIF(INDEX(Table1[],,MATCH($I37,Table1[#Headers],0)), L$16)</f>
        <v>11</v>
      </c>
    </row>
    <row r="38" spans="2:12" x14ac:dyDescent="0.3">
      <c r="B38" t="str" cm="1">
        <f t="array" ref="B38">_xlfn.LET(_xlpm.n,ROW()-17,_xlpm.grp,INT(_xlpm.n/4),_xlpm.opt,CHAR(65+MOD(_xlpm.n,4)),_xlpm.seq,{1;3;5;7;9;2;4;6;8;10},_xlpm.q,INDEX(_xlpm.seq,_xlpm.grp+1),_xlpm.opt &amp; IF(_xlpm.q=1,""," "&amp;_xlpm.q))</f>
        <v>B 2</v>
      </c>
      <c r="C38">
        <f>COUNTIF(INDEX(Table1[],,MATCH($B38,Table1[#Headers],0)),C$16)</f>
        <v>2</v>
      </c>
      <c r="D38">
        <f>COUNTIF(INDEX(Table1[],,MATCH($B38,Table1[#Headers],0)),D$16)</f>
        <v>4</v>
      </c>
      <c r="E38">
        <f>COUNTIF(INDEX(Table1[],,MATCH($B38,Table1[#Headers],0)),E$16)</f>
        <v>31</v>
      </c>
      <c r="F38">
        <f>COUNTIF(INDEX(Table1[],,MATCH($B38,Table1[#Headers],0)),F$16)</f>
        <v>13</v>
      </c>
      <c r="I38" t="str">
        <f t="shared" si="0"/>
        <v>A 18</v>
      </c>
      <c r="J38">
        <f>COUNTIF(INDEX(Table1[],,MATCH($I38,Table1[#Headers],0)), J$16)</f>
        <v>3</v>
      </c>
      <c r="K38">
        <f>COUNTIF(INDEX(Table1[],,MATCH($I38,Table1[#Headers],0)), K$16)</f>
        <v>11</v>
      </c>
      <c r="L38">
        <f>COUNTIF(INDEX(Table1[],,MATCH($I38,Table1[#Headers],0)), L$16)</f>
        <v>36</v>
      </c>
    </row>
    <row r="39" spans="2:12" x14ac:dyDescent="0.3">
      <c r="B39" t="str" cm="1">
        <f t="array" ref="B39">_xlfn.LET(_xlpm.n,ROW()-17,_xlpm.grp,INT(_xlpm.n/4),_xlpm.opt,CHAR(65+MOD(_xlpm.n,4)),_xlpm.seq,{1;3;5;7;9;2;4;6;8;10},_xlpm.q,INDEX(_xlpm.seq,_xlpm.grp+1),_xlpm.opt &amp; IF(_xlpm.q=1,""," "&amp;_xlpm.q))</f>
        <v>C 2</v>
      </c>
      <c r="C39">
        <f>COUNTIF(INDEX(Table1[],,MATCH($B39,Table1[#Headers],0)),C$16)</f>
        <v>3</v>
      </c>
      <c r="D39">
        <f>COUNTIF(INDEX(Table1[],,MATCH($B39,Table1[#Headers],0)),D$16)</f>
        <v>4</v>
      </c>
      <c r="E39">
        <f>COUNTIF(INDEX(Table1[],,MATCH($B39,Table1[#Headers],0)),E$16)</f>
        <v>15</v>
      </c>
      <c r="F39">
        <f>COUNTIF(INDEX(Table1[],,MATCH($B39,Table1[#Headers],0)),F$16)</f>
        <v>28</v>
      </c>
      <c r="I39" t="str">
        <f t="shared" si="0"/>
        <v>B 18</v>
      </c>
      <c r="J39">
        <f>COUNTIF(INDEX(Table1[],,MATCH($I39,Table1[#Headers],0)), J$16)</f>
        <v>34</v>
      </c>
      <c r="K39">
        <f>COUNTIF(INDEX(Table1[],,MATCH($I39,Table1[#Headers],0)), K$16)</f>
        <v>12</v>
      </c>
      <c r="L39">
        <f>COUNTIF(INDEX(Table1[],,MATCH($I39,Table1[#Headers],0)), L$16)</f>
        <v>4</v>
      </c>
    </row>
    <row r="40" spans="2:12" x14ac:dyDescent="0.3">
      <c r="B40" t="str" cm="1">
        <f t="array" ref="B40">_xlfn.LET(_xlpm.n,ROW()-17,_xlpm.grp,INT(_xlpm.n/4),_xlpm.opt,CHAR(65+MOD(_xlpm.n,4)),_xlpm.seq,{1;3;5;7;9;2;4;6;8;10},_xlpm.q,INDEX(_xlpm.seq,_xlpm.grp+1),_xlpm.opt &amp; IF(_xlpm.q=1,""," "&amp;_xlpm.q))</f>
        <v>D 2</v>
      </c>
      <c r="C40">
        <f>COUNTIF(INDEX(Table1[],,MATCH($B40,Table1[#Headers],0)),C$16)</f>
        <v>20</v>
      </c>
      <c r="D40">
        <f>COUNTIF(INDEX(Table1[],,MATCH($B40,Table1[#Headers],0)),D$16)</f>
        <v>21</v>
      </c>
      <c r="E40">
        <f>COUNTIF(INDEX(Table1[],,MATCH($B40,Table1[#Headers],0)),E$16)</f>
        <v>6</v>
      </c>
      <c r="F40">
        <f>COUNTIF(INDEX(Table1[],,MATCH($B40,Table1[#Headers],0)),F$16)</f>
        <v>3</v>
      </c>
      <c r="I40" t="str">
        <f t="shared" si="0"/>
        <v>C 18</v>
      </c>
      <c r="J40">
        <f>COUNTIF(INDEX(Table1[],,MATCH($I40,Table1[#Headers],0)), J$16)</f>
        <v>11</v>
      </c>
      <c r="K40">
        <f>COUNTIF(INDEX(Table1[],,MATCH($I40,Table1[#Headers],0)), K$16)</f>
        <v>25</v>
      </c>
      <c r="L40">
        <f>COUNTIF(INDEX(Table1[],,MATCH($I40,Table1[#Headers],0)), L$16)</f>
        <v>14</v>
      </c>
    </row>
    <row r="41" spans="2:12" x14ac:dyDescent="0.3">
      <c r="B41" t="str" cm="1">
        <f t="array" ref="B41">_xlfn.LET(_xlpm.n,ROW()-17,_xlpm.grp,INT(_xlpm.n/4),_xlpm.opt,CHAR(65+MOD(_xlpm.n,4)),_xlpm.seq,{1;3;5;7;9;2;4;6;8;10},_xlpm.q,INDEX(_xlpm.seq,_xlpm.grp+1),_xlpm.opt &amp; IF(_xlpm.q=1,""," "&amp;_xlpm.q))</f>
        <v>A 4</v>
      </c>
      <c r="C41">
        <f>COUNTIF(INDEX(Table1[],,MATCH($B41,Table1[#Headers],0)),C$16)</f>
        <v>38</v>
      </c>
      <c r="D41">
        <f>COUNTIF(INDEX(Table1[],,MATCH($B41,Table1[#Headers],0)),D$16)</f>
        <v>2</v>
      </c>
      <c r="E41">
        <f>COUNTIF(INDEX(Table1[],,MATCH($B41,Table1[#Headers],0)),E$16)</f>
        <v>7</v>
      </c>
      <c r="F41">
        <f>COUNTIF(INDEX(Table1[],,MATCH($B41,Table1[#Headers],0)),F$16)</f>
        <v>3</v>
      </c>
      <c r="I41" t="str">
        <f t="shared" si="0"/>
        <v>A 19</v>
      </c>
      <c r="J41">
        <f>COUNTIF(INDEX(Table1[],,MATCH($I41,Table1[#Headers],0)), J$16)</f>
        <v>31</v>
      </c>
      <c r="K41">
        <f>COUNTIF(INDEX(Table1[],,MATCH($I41,Table1[#Headers],0)), K$16)</f>
        <v>9</v>
      </c>
      <c r="L41">
        <f>COUNTIF(INDEX(Table1[],,MATCH($I41,Table1[#Headers],0)), L$16)</f>
        <v>10</v>
      </c>
    </row>
    <row r="42" spans="2:12" x14ac:dyDescent="0.3">
      <c r="B42" t="str" cm="1">
        <f t="array" ref="B42">_xlfn.LET(_xlpm.n,ROW()-17,_xlpm.grp,INT(_xlpm.n/4),_xlpm.opt,CHAR(65+MOD(_xlpm.n,4)),_xlpm.seq,{1;3;5;7;9;2;4;6;8;10},_xlpm.q,INDEX(_xlpm.seq,_xlpm.grp+1),_xlpm.opt &amp; IF(_xlpm.q=1,""," "&amp;_xlpm.q))</f>
        <v>B 4</v>
      </c>
      <c r="C42">
        <f>COUNTIF(INDEX(Table1[],,MATCH($B42,Table1[#Headers],0)),C$16)</f>
        <v>4</v>
      </c>
      <c r="D42">
        <f>COUNTIF(INDEX(Table1[],,MATCH($B42,Table1[#Headers],0)),D$16)</f>
        <v>7</v>
      </c>
      <c r="E42">
        <f>COUNTIF(INDEX(Table1[],,MATCH($B42,Table1[#Headers],0)),E$16)</f>
        <v>12</v>
      </c>
      <c r="F42">
        <f>COUNTIF(INDEX(Table1[],,MATCH($B42,Table1[#Headers],0)),F$16)</f>
        <v>27</v>
      </c>
      <c r="I42" t="str">
        <f>CHAR(65+MOD(ROW()-17,3))&amp; " " &amp;(10+INT((ROW()-17)/3)+1)</f>
        <v>B 19</v>
      </c>
      <c r="J42">
        <f>COUNTIF(INDEX(Table1[],,MATCH($I42,Table1[#Headers],0)), J$16)</f>
        <v>14</v>
      </c>
      <c r="K42">
        <f>COUNTIF(INDEX(Table1[],,MATCH($I42,Table1[#Headers],0)), K$16)</f>
        <v>26</v>
      </c>
      <c r="L42">
        <f>COUNTIF(INDEX(Table1[],,MATCH($I42,Table1[#Headers],0)), L$16)</f>
        <v>10</v>
      </c>
    </row>
    <row r="43" spans="2:12" x14ac:dyDescent="0.3">
      <c r="B43" t="str" cm="1">
        <f t="array" ref="B43">_xlfn.LET(_xlpm.n,ROW()-17,_xlpm.grp,INT(_xlpm.n/4),_xlpm.opt,CHAR(65+MOD(_xlpm.n,4)),_xlpm.seq,{1;3;5;7;9;2;4;6;8;10},_xlpm.q,INDEX(_xlpm.seq,_xlpm.grp+1),_xlpm.opt &amp; IF(_xlpm.q=1,""," "&amp;_xlpm.q))</f>
        <v>C 4</v>
      </c>
      <c r="C43">
        <f>COUNTIF(INDEX(Table1[],,MATCH($B43,Table1[#Headers],0)),C$16)</f>
        <v>1</v>
      </c>
      <c r="D43">
        <f>COUNTIF(INDEX(Table1[],,MATCH($B43,Table1[#Headers],0)),D$16)</f>
        <v>29</v>
      </c>
      <c r="E43">
        <f>COUNTIF(INDEX(Table1[],,MATCH($B43,Table1[#Headers],0)),E$16)</f>
        <v>10</v>
      </c>
      <c r="F43">
        <f>COUNTIF(INDEX(Table1[],,MATCH($B43,Table1[#Headers],0)),F$16)</f>
        <v>10</v>
      </c>
      <c r="I43" t="str">
        <f t="shared" si="0"/>
        <v>C 19</v>
      </c>
      <c r="J43">
        <f>COUNTIF(INDEX(Table1[],,MATCH($I43,Table1[#Headers],0)), J$16)</f>
        <v>4</v>
      </c>
      <c r="K43">
        <f>COUNTIF(INDEX(Table1[],,MATCH($I43,Table1[#Headers],0)), K$16)</f>
        <v>14</v>
      </c>
      <c r="L43">
        <f>COUNTIF(INDEX(Table1[],,MATCH($I43,Table1[#Headers],0)), L$16)</f>
        <v>32</v>
      </c>
    </row>
    <row r="44" spans="2:12" x14ac:dyDescent="0.3">
      <c r="B44" t="str" cm="1">
        <f t="array" ref="B44">_xlfn.LET(_xlpm.n,ROW()-17,_xlpm.grp,INT(_xlpm.n/4),_xlpm.opt,CHAR(65+MOD(_xlpm.n,4)),_xlpm.seq,{1;3;5;7;9;2;4;6;8;10},_xlpm.q,INDEX(_xlpm.seq,_xlpm.grp+1),_xlpm.opt &amp; IF(_xlpm.q=1,""," "&amp;_xlpm.q))</f>
        <v>D 4</v>
      </c>
      <c r="C44">
        <f>COUNTIF(INDEX(Table1[],,MATCH($B44,Table1[#Headers],0)),C$16)</f>
        <v>5</v>
      </c>
      <c r="D44">
        <f>COUNTIF(INDEX(Table1[],,MATCH($B44,Table1[#Headers],0)),D$16)</f>
        <v>11</v>
      </c>
      <c r="E44">
        <f>COUNTIF(INDEX(Table1[],,MATCH($B44,Table1[#Headers],0)),E$16)</f>
        <v>21</v>
      </c>
      <c r="F44">
        <f>COUNTIF(INDEX(Table1[],,MATCH($B44,Table1[#Headers],0)),F$16)</f>
        <v>13</v>
      </c>
      <c r="I44" t="str">
        <f t="shared" si="0"/>
        <v>A 20</v>
      </c>
      <c r="J44">
        <f>COUNTIF(INDEX(Table1[],,MATCH($I44,Table1[#Headers],0)), J$16)</f>
        <v>24</v>
      </c>
      <c r="K44">
        <f>COUNTIF(INDEX(Table1[],,MATCH($I44,Table1[#Headers],0)), K$16)</f>
        <v>20</v>
      </c>
      <c r="L44">
        <f>COUNTIF(INDEX(Table1[],,MATCH($I44,Table1[#Headers],0)), L$16)</f>
        <v>6</v>
      </c>
    </row>
    <row r="45" spans="2:12" x14ac:dyDescent="0.3">
      <c r="B45" t="str" cm="1">
        <f t="array" ref="B45">_xlfn.LET(_xlpm.n,ROW()-17,_xlpm.grp,INT(_xlpm.n/4),_xlpm.opt,CHAR(65+MOD(_xlpm.n,4)),_xlpm.seq,{1;3;5;7;9;2;4;6;8;10},_xlpm.q,INDEX(_xlpm.seq,_xlpm.grp+1),_xlpm.opt &amp; IF(_xlpm.q=1,""," "&amp;_xlpm.q))</f>
        <v>A 6</v>
      </c>
      <c r="C45">
        <f>COUNTIF(INDEX(Table1[],,MATCH($B45,Table1[#Headers],0)),C$16)</f>
        <v>19</v>
      </c>
      <c r="D45">
        <f>COUNTIF(INDEX(Table1[],,MATCH($B45,Table1[#Headers],0)),D$16)</f>
        <v>8</v>
      </c>
      <c r="E45">
        <f>COUNTIF(INDEX(Table1[],,MATCH($B45,Table1[#Headers],0)),E$16)</f>
        <v>20</v>
      </c>
      <c r="F45">
        <f>COUNTIF(INDEX(Table1[],,MATCH($B45,Table1[#Headers],0)),F$16)</f>
        <v>3</v>
      </c>
      <c r="I45" t="str">
        <f t="shared" si="0"/>
        <v>B 20</v>
      </c>
      <c r="J45">
        <f>COUNTIF(INDEX(Table1[],,MATCH($I45,Table1[#Headers],0)), J$16)</f>
        <v>21</v>
      </c>
      <c r="K45">
        <f>COUNTIF(INDEX(Table1[],,MATCH($I45,Table1[#Headers],0)), K$16)</f>
        <v>24</v>
      </c>
      <c r="L45">
        <f>COUNTIF(INDEX(Table1[],,MATCH($I45,Table1[#Headers],0)), L$16)</f>
        <v>5</v>
      </c>
    </row>
    <row r="46" spans="2:12" x14ac:dyDescent="0.3">
      <c r="B46" t="str" cm="1">
        <f t="array" ref="B46">_xlfn.LET(_xlpm.n,ROW()-17,_xlpm.grp,INT(_xlpm.n/4),_xlpm.opt,CHAR(65+MOD(_xlpm.n,4)),_xlpm.seq,{1;3;5;7;9;2;4;6;8;10},_xlpm.q,INDEX(_xlpm.seq,_xlpm.grp+1),_xlpm.opt &amp; IF(_xlpm.q=1,""," "&amp;_xlpm.q))</f>
        <v>B 6</v>
      </c>
      <c r="C46">
        <f>COUNTIF(INDEX(Table1[],,MATCH($B46,Table1[#Headers],0)),C$16)</f>
        <v>6</v>
      </c>
      <c r="D46">
        <f>COUNTIF(INDEX(Table1[],,MATCH($B46,Table1[#Headers],0)),D$16)</f>
        <v>26</v>
      </c>
      <c r="E46">
        <f>COUNTIF(INDEX(Table1[],,MATCH($B46,Table1[#Headers],0)),E$16)</f>
        <v>12</v>
      </c>
      <c r="F46">
        <f>COUNTIF(INDEX(Table1[],,MATCH($B46,Table1[#Headers],0)),F$16)</f>
        <v>6</v>
      </c>
      <c r="I46" t="str">
        <f>CHAR(65+MOD(ROW()-17,3))&amp; " " &amp;(10+INT((ROW()-17)/3)+1)</f>
        <v>C 20</v>
      </c>
      <c r="J46">
        <f>COUNTIF(INDEX(Table1[],,MATCH($I46,Table1[#Headers],0)), J$16)</f>
        <v>8</v>
      </c>
      <c r="K46">
        <f>COUNTIF(INDEX(Table1[],,MATCH($I46,Table1[#Headers],0)), K$16)</f>
        <v>5</v>
      </c>
      <c r="L46">
        <f>COUNTIF(INDEX(Table1[],,MATCH($I46,Table1[#Headers],0)), L$16)</f>
        <v>37</v>
      </c>
    </row>
    <row r="47" spans="2:12" x14ac:dyDescent="0.3">
      <c r="B47" t="str" cm="1">
        <f t="array" ref="B47">_xlfn.LET(_xlpm.n,ROW()-17,_xlpm.grp,INT(_xlpm.n/4),_xlpm.opt,CHAR(65+MOD(_xlpm.n,4)),_xlpm.seq,{1;3;5;7;9;2;4;6;8;10},_xlpm.q,INDEX(_xlpm.seq,_xlpm.grp+1),_xlpm.opt &amp; IF(_xlpm.q=1,""," "&amp;_xlpm.q))</f>
        <v>C 6</v>
      </c>
      <c r="C47">
        <f>COUNTIF(INDEX(Table1[],,MATCH($B47,Table1[#Headers],0)),C$16)</f>
        <v>7</v>
      </c>
      <c r="D47">
        <f>COUNTIF(INDEX(Table1[],,MATCH($B47,Table1[#Headers],0)),D$16)</f>
        <v>8</v>
      </c>
      <c r="E47">
        <f>COUNTIF(INDEX(Table1[],,MATCH($B47,Table1[#Headers],0)),E$16)</f>
        <v>8</v>
      </c>
      <c r="F47">
        <f>COUNTIF(INDEX(Table1[],,MATCH($B47,Table1[#Headers],0)),F$16)</f>
        <v>27</v>
      </c>
    </row>
    <row r="48" spans="2:12" x14ac:dyDescent="0.3">
      <c r="B48" t="str" cm="1">
        <f t="array" ref="B48">_xlfn.LET(_xlpm.n,ROW()-17,_xlpm.grp,INT(_xlpm.n/4),_xlpm.opt,CHAR(65+MOD(_xlpm.n,4)),_xlpm.seq,{1;3;5;7;9;2;4;6;8;10},_xlpm.q,INDEX(_xlpm.seq,_xlpm.grp+1),_xlpm.opt &amp; IF(_xlpm.q=1,""," "&amp;_xlpm.q))</f>
        <v>D 6</v>
      </c>
      <c r="C48">
        <f>COUNTIF(INDEX(Table1[],,MATCH($B48,Table1[#Headers],0)),C$16)</f>
        <v>16</v>
      </c>
      <c r="D48">
        <f>COUNTIF(INDEX(Table1[],,MATCH($B48,Table1[#Headers],0)),D$16)</f>
        <v>8</v>
      </c>
      <c r="E48">
        <f>COUNTIF(INDEX(Table1[],,MATCH($B48,Table1[#Headers],0)),E$16)</f>
        <v>12</v>
      </c>
      <c r="F48">
        <f>COUNTIF(INDEX(Table1[],,MATCH($B48,Table1[#Headers],0)),F$16)</f>
        <v>14</v>
      </c>
    </row>
    <row r="49" spans="2:6" x14ac:dyDescent="0.3">
      <c r="B49" t="str" cm="1">
        <f t="array" ref="B49">_xlfn.LET(_xlpm.n,ROW()-17,_xlpm.grp,INT(_xlpm.n/4),_xlpm.opt,CHAR(65+MOD(_xlpm.n,4)),_xlpm.seq,{1;3;5;7;9;2;4;6;8;10},_xlpm.q,INDEX(_xlpm.seq,_xlpm.grp+1),_xlpm.opt &amp; IF(_xlpm.q=1,""," "&amp;_xlpm.q))</f>
        <v>A 8</v>
      </c>
      <c r="C49">
        <f>COUNTIF(INDEX(Table1[],,MATCH($B49,Table1[#Headers],0)),C$16)</f>
        <v>7</v>
      </c>
      <c r="D49">
        <f>COUNTIF(INDEX(Table1[],,MATCH($B49,Table1[#Headers],0)),D$16)</f>
        <v>11</v>
      </c>
      <c r="E49">
        <f>COUNTIF(INDEX(Table1[],,MATCH($B49,Table1[#Headers],0)),E$16)</f>
        <v>19</v>
      </c>
      <c r="F49">
        <f>COUNTIF(INDEX(Table1[],,MATCH($B49,Table1[#Headers],0)),F$16)</f>
        <v>13</v>
      </c>
    </row>
    <row r="50" spans="2:6" x14ac:dyDescent="0.3">
      <c r="B50" t="str" cm="1">
        <f t="array" ref="B50">_xlfn.LET(_xlpm.n,ROW()-17,_xlpm.grp,INT(_xlpm.n/4),_xlpm.opt,CHAR(65+MOD(_xlpm.n,4)),_xlpm.seq,{1;3;5;7;9;2;4;6;8;10},_xlpm.q,INDEX(_xlpm.seq,_xlpm.grp+1),_xlpm.opt &amp; IF(_xlpm.q=1,""," "&amp;_xlpm.q))</f>
        <v>B 8</v>
      </c>
      <c r="C50">
        <f>COUNTIF(INDEX(Table1[],,MATCH($B50,Table1[#Headers],0)),C$16)</f>
        <v>7</v>
      </c>
      <c r="D50">
        <f>COUNTIF(INDEX(Table1[],,MATCH($B50,Table1[#Headers],0)),D$16)</f>
        <v>26</v>
      </c>
      <c r="E50">
        <f>COUNTIF(INDEX(Table1[],,MATCH($B50,Table1[#Headers],0)),E$16)</f>
        <v>15</v>
      </c>
      <c r="F50">
        <f>COUNTIF(INDEX(Table1[],,MATCH($B50,Table1[#Headers],0)),F$16)</f>
        <v>2</v>
      </c>
    </row>
    <row r="51" spans="2:6" x14ac:dyDescent="0.3">
      <c r="B51" t="str" cm="1">
        <f t="array" ref="B51">_xlfn.LET(_xlpm.n,ROW()-17,_xlpm.grp,INT(_xlpm.n/4),_xlpm.opt,CHAR(65+MOD(_xlpm.n,4)),_xlpm.seq,{1;3;5;7;9;2;4;6;8;10},_xlpm.q,INDEX(_xlpm.seq,_xlpm.grp+1),_xlpm.opt &amp; IF(_xlpm.q=1,""," "&amp;_xlpm.q))</f>
        <v>C 8</v>
      </c>
      <c r="C51">
        <f>COUNTIF(INDEX(Table1[],,MATCH($B51,Table1[#Headers],0)),C$16)</f>
        <v>4</v>
      </c>
      <c r="D51">
        <f>COUNTIF(INDEX(Table1[],,MATCH($B51,Table1[#Headers],0)),D$16)</f>
        <v>6</v>
      </c>
      <c r="E51">
        <f>COUNTIF(INDEX(Table1[],,MATCH($B51,Table1[#Headers],0)),E$16)</f>
        <v>12</v>
      </c>
      <c r="F51">
        <f>COUNTIF(INDEX(Table1[],,MATCH($B51,Table1[#Headers],0)),F$16)</f>
        <v>28</v>
      </c>
    </row>
    <row r="52" spans="2:6" x14ac:dyDescent="0.3">
      <c r="B52" t="str" cm="1">
        <f t="array" ref="B52">_xlfn.LET(_xlpm.n,ROW()-17,_xlpm.grp,INT(_xlpm.n/4),_xlpm.opt,CHAR(65+MOD(_xlpm.n,4)),_xlpm.seq,{1;3;5;7;9;2;4;6;8;10},_xlpm.q,INDEX(_xlpm.seq,_xlpm.grp+1),_xlpm.opt &amp; IF(_xlpm.q=1,""," "&amp;_xlpm.q))</f>
        <v>D 8</v>
      </c>
      <c r="C52">
        <f>COUNTIF(INDEX(Table1[],,MATCH($B52,Table1[#Headers],0)),C$16)</f>
        <v>29</v>
      </c>
      <c r="D52">
        <f>COUNTIF(INDEX(Table1[],,MATCH($B52,Table1[#Headers],0)),D$16)</f>
        <v>5</v>
      </c>
      <c r="E52">
        <f>COUNTIF(INDEX(Table1[],,MATCH($B52,Table1[#Headers],0)),E$16)</f>
        <v>5</v>
      </c>
      <c r="F52">
        <f>COUNTIF(INDEX(Table1[],,MATCH($B52,Table1[#Headers],0)),F$16)</f>
        <v>11</v>
      </c>
    </row>
    <row r="53" spans="2:6" x14ac:dyDescent="0.3">
      <c r="B53" t="str" cm="1">
        <f t="array" ref="B53">_xlfn.LET(_xlpm.n,ROW()-17,_xlpm.grp,INT(_xlpm.n/4),_xlpm.opt,CHAR(65+MOD(_xlpm.n,4)),_xlpm.seq,{1;3;5;7;9;2;4;6;8;10},_xlpm.q,INDEX(_xlpm.seq,_xlpm.grp+1),_xlpm.opt &amp; IF(_xlpm.q=1,""," "&amp;_xlpm.q))</f>
        <v>A 10</v>
      </c>
      <c r="C53">
        <f>COUNTIF(INDEX(Table1[],,MATCH($B53,Table1[#Headers],0)),C$16)</f>
        <v>11</v>
      </c>
      <c r="D53">
        <f>COUNTIF(INDEX(Table1[],,MATCH($B53,Table1[#Headers],0)),D$16)</f>
        <v>11</v>
      </c>
      <c r="E53">
        <f>COUNTIF(INDEX(Table1[],,MATCH($B53,Table1[#Headers],0)),E$16)</f>
        <v>5</v>
      </c>
      <c r="F53">
        <f>COUNTIF(INDEX(Table1[],,MATCH($B53,Table1[#Headers],0)),F$16)</f>
        <v>23</v>
      </c>
    </row>
    <row r="54" spans="2:6" x14ac:dyDescent="0.3">
      <c r="B54" t="str" cm="1">
        <f t="array" ref="B54">_xlfn.LET(_xlpm.n,ROW()-17,_xlpm.grp,INT(_xlpm.n/4),_xlpm.opt,CHAR(65+MOD(_xlpm.n,4)),_xlpm.seq,{1;3;5;7;9;2;4;6;8;10},_xlpm.q,INDEX(_xlpm.seq,_xlpm.grp+1),_xlpm.opt &amp; IF(_xlpm.q=1,""," "&amp;_xlpm.q))</f>
        <v>B 10</v>
      </c>
      <c r="C54">
        <f>COUNTIF(INDEX(Table1[],,MATCH($B54,Table1[#Headers],0)),C$16)</f>
        <v>13</v>
      </c>
      <c r="D54">
        <f>COUNTIF(INDEX(Table1[],,MATCH($B54,Table1[#Headers],0)),D$16)</f>
        <v>12</v>
      </c>
      <c r="E54">
        <f>COUNTIF(INDEX(Table1[],,MATCH($B54,Table1[#Headers],0)),E$16)</f>
        <v>14</v>
      </c>
      <c r="F54">
        <f>COUNTIF(INDEX(Table1[],,MATCH($B54,Table1[#Headers],0)),F$16)</f>
        <v>11</v>
      </c>
    </row>
    <row r="55" spans="2:6" x14ac:dyDescent="0.3">
      <c r="B55" t="str" cm="1">
        <f t="array" ref="B55">_xlfn.LET(_xlpm.n,ROW()-17,_xlpm.grp,INT(_xlpm.n/4),_xlpm.opt,CHAR(65+MOD(_xlpm.n,4)),_xlpm.seq,{1;3;5;7;9;2;4;6;8;10},_xlpm.q,INDEX(_xlpm.seq,_xlpm.grp+1),_xlpm.opt &amp; IF(_xlpm.q=1,""," "&amp;_xlpm.q))</f>
        <v>C 10</v>
      </c>
      <c r="C55">
        <f>COUNTIF(INDEX(Table1[],,MATCH($B55,Table1[#Headers],0)),C$16)</f>
        <v>8</v>
      </c>
      <c r="D55">
        <f>COUNTIF(INDEX(Table1[],,MATCH($B55,Table1[#Headers],0)),D$16)</f>
        <v>17</v>
      </c>
      <c r="E55">
        <f>COUNTIF(INDEX(Table1[],,MATCH($B55,Table1[#Headers],0)),E$16)</f>
        <v>15</v>
      </c>
      <c r="F55">
        <f>COUNTIF(INDEX(Table1[],,MATCH($B55,Table1[#Headers],0)),F$16)</f>
        <v>10</v>
      </c>
    </row>
    <row r="56" spans="2:6" x14ac:dyDescent="0.3">
      <c r="B56" t="str" cm="1">
        <f t="array" ref="B56">_xlfn.LET(_xlpm.n,ROW()-17,_xlpm.grp,INT(_xlpm.n/4),_xlpm.opt,CHAR(65+MOD(_xlpm.n,4)),_xlpm.seq,{1;3;5;7;9;2;4;6;8;10},_xlpm.q,INDEX(_xlpm.seq,_xlpm.grp+1),_xlpm.opt &amp; IF(_xlpm.q=1,""," "&amp;_xlpm.q))</f>
        <v>D 10</v>
      </c>
      <c r="C56">
        <f>COUNTIF(INDEX(Table1[],,MATCH($B56,Table1[#Headers],0)),C$16)</f>
        <v>16</v>
      </c>
      <c r="D56">
        <f>COUNTIF(INDEX(Table1[],,MATCH($B56,Table1[#Headers],0)),D$16)</f>
        <v>13</v>
      </c>
      <c r="E56">
        <f>COUNTIF(INDEX(Table1[],,MATCH($B56,Table1[#Headers],0)),E$16)</f>
        <v>14</v>
      </c>
      <c r="F56">
        <f>COUNTIF(INDEX(Table1[],,MATCH($B56,Table1[#Headers],0)),F$16)</f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F757F-94AE-45B7-B080-52B977C7085C}">
  <dimension ref="A2:X23"/>
  <sheetViews>
    <sheetView topLeftCell="A22" workbookViewId="0">
      <selection activeCell="S13" sqref="S13:S16"/>
    </sheetView>
  </sheetViews>
  <sheetFormatPr defaultRowHeight="14.4" x14ac:dyDescent="0.3"/>
  <cols>
    <col min="7" max="7" width="16.5546875" customWidth="1"/>
    <col min="19" max="19" width="14.88671875" customWidth="1"/>
    <col min="20" max="20" width="11.5546875" customWidth="1"/>
  </cols>
  <sheetData>
    <row r="2" spans="1:24" x14ac:dyDescent="0.3">
      <c r="N2" t="s">
        <v>11</v>
      </c>
      <c r="O2" t="s">
        <v>13</v>
      </c>
      <c r="P2" t="s">
        <v>14</v>
      </c>
      <c r="Q2" t="s">
        <v>12</v>
      </c>
    </row>
    <row r="3" spans="1:24" x14ac:dyDescent="0.3">
      <c r="A3" t="s">
        <v>136</v>
      </c>
      <c r="B3" t="s">
        <v>11</v>
      </c>
      <c r="C3" t="s">
        <v>13</v>
      </c>
      <c r="D3" t="s">
        <v>14</v>
      </c>
      <c r="E3" t="s">
        <v>12</v>
      </c>
      <c r="H3" t="s">
        <v>11</v>
      </c>
      <c r="I3" t="s">
        <v>13</v>
      </c>
      <c r="J3" t="s">
        <v>14</v>
      </c>
      <c r="K3" t="s">
        <v>12</v>
      </c>
      <c r="M3" t="s">
        <v>66</v>
      </c>
      <c r="N3">
        <v>23</v>
      </c>
      <c r="O3">
        <v>21</v>
      </c>
      <c r="P3">
        <v>0</v>
      </c>
      <c r="Q3">
        <v>6</v>
      </c>
      <c r="T3" t="s">
        <v>11</v>
      </c>
      <c r="U3" t="s">
        <v>13</v>
      </c>
      <c r="V3" t="s">
        <v>14</v>
      </c>
      <c r="W3" t="s">
        <v>12</v>
      </c>
    </row>
    <row r="4" spans="1:24" x14ac:dyDescent="0.3">
      <c r="A4" t="s">
        <v>65</v>
      </c>
      <c r="B4">
        <v>12</v>
      </c>
      <c r="C4">
        <v>17</v>
      </c>
      <c r="D4">
        <v>13</v>
      </c>
      <c r="E4">
        <v>8</v>
      </c>
      <c r="G4" t="s">
        <v>139</v>
      </c>
      <c r="H4">
        <f t="shared" ref="H4:K7" si="0">SUMIF($A:$A,$A4&amp;"*",B:B)</f>
        <v>112</v>
      </c>
      <c r="I4">
        <f t="shared" si="0"/>
        <v>58</v>
      </c>
      <c r="J4">
        <f t="shared" si="0"/>
        <v>42</v>
      </c>
      <c r="K4">
        <f t="shared" si="0"/>
        <v>38</v>
      </c>
      <c r="M4" t="s">
        <v>86</v>
      </c>
      <c r="N4">
        <v>2</v>
      </c>
      <c r="O4">
        <v>4</v>
      </c>
      <c r="P4">
        <v>31</v>
      </c>
      <c r="Q4">
        <v>13</v>
      </c>
      <c r="S4" t="s">
        <v>143</v>
      </c>
      <c r="T4">
        <f>SUMIF($M:$M,"A*",N:N)</f>
        <v>98</v>
      </c>
      <c r="U4">
        <f t="shared" ref="U4:W4" si="1">SUMIF($M:$M,"A*",O:O)</f>
        <v>53</v>
      </c>
      <c r="V4">
        <f t="shared" si="1"/>
        <v>51</v>
      </c>
      <c r="W4">
        <f t="shared" si="1"/>
        <v>48</v>
      </c>
    </row>
    <row r="5" spans="1:24" x14ac:dyDescent="0.3">
      <c r="A5" t="s">
        <v>85</v>
      </c>
      <c r="B5">
        <v>10</v>
      </c>
      <c r="C5">
        <v>3</v>
      </c>
      <c r="D5">
        <v>6</v>
      </c>
      <c r="E5">
        <v>31</v>
      </c>
      <c r="G5" t="s">
        <v>140</v>
      </c>
      <c r="H5">
        <f t="shared" si="0"/>
        <v>37</v>
      </c>
      <c r="I5">
        <f t="shared" si="0"/>
        <v>42</v>
      </c>
      <c r="J5">
        <f t="shared" si="0"/>
        <v>48</v>
      </c>
      <c r="K5">
        <f t="shared" si="0"/>
        <v>123</v>
      </c>
      <c r="M5" t="s">
        <v>106</v>
      </c>
      <c r="N5">
        <v>3</v>
      </c>
      <c r="O5">
        <v>4</v>
      </c>
      <c r="P5">
        <v>15</v>
      </c>
      <c r="Q5">
        <v>28</v>
      </c>
      <c r="S5" t="s">
        <v>144</v>
      </c>
      <c r="T5">
        <f>SUMIF($M:$M,"B*",N:N)</f>
        <v>32</v>
      </c>
      <c r="U5">
        <f t="shared" ref="U5:W5" si="2">SUMIF($M:$M,"B*",O:O)</f>
        <v>75</v>
      </c>
      <c r="V5">
        <f t="shared" si="2"/>
        <v>84</v>
      </c>
      <c r="W5">
        <f t="shared" si="2"/>
        <v>59</v>
      </c>
    </row>
    <row r="6" spans="1:24" x14ac:dyDescent="0.3">
      <c r="A6" t="s">
        <v>105</v>
      </c>
      <c r="B6">
        <v>10</v>
      </c>
      <c r="C6">
        <v>15</v>
      </c>
      <c r="D6">
        <v>13</v>
      </c>
      <c r="E6">
        <v>12</v>
      </c>
      <c r="G6" t="s">
        <v>141</v>
      </c>
      <c r="H6">
        <f t="shared" si="0"/>
        <v>49</v>
      </c>
      <c r="I6">
        <f t="shared" si="0"/>
        <v>96</v>
      </c>
      <c r="J6">
        <f t="shared" si="0"/>
        <v>67</v>
      </c>
      <c r="K6">
        <f t="shared" si="0"/>
        <v>38</v>
      </c>
      <c r="M6" t="s">
        <v>126</v>
      </c>
      <c r="N6">
        <v>20</v>
      </c>
      <c r="O6">
        <v>21</v>
      </c>
      <c r="P6">
        <v>6</v>
      </c>
      <c r="Q6">
        <v>3</v>
      </c>
      <c r="S6" t="s">
        <v>145</v>
      </c>
      <c r="T6">
        <f>SUMIF($M:$M,"C*",N:N)</f>
        <v>23</v>
      </c>
      <c r="U6">
        <f t="shared" ref="U6:W6" si="3">SUMIF($M:$M,"C*",O:O)</f>
        <v>64</v>
      </c>
      <c r="V6">
        <f t="shared" si="3"/>
        <v>60</v>
      </c>
      <c r="W6">
        <f t="shared" si="3"/>
        <v>103</v>
      </c>
    </row>
    <row r="7" spans="1:24" x14ac:dyDescent="0.3">
      <c r="A7" t="s">
        <v>125</v>
      </c>
      <c r="B7">
        <v>15</v>
      </c>
      <c r="C7">
        <v>14</v>
      </c>
      <c r="D7">
        <v>15</v>
      </c>
      <c r="E7">
        <v>6</v>
      </c>
      <c r="G7" t="s">
        <v>142</v>
      </c>
      <c r="H7">
        <f t="shared" si="0"/>
        <v>47</v>
      </c>
      <c r="I7">
        <f t="shared" si="0"/>
        <v>54</v>
      </c>
      <c r="J7">
        <f t="shared" si="0"/>
        <v>88</v>
      </c>
      <c r="K7">
        <f t="shared" si="0"/>
        <v>61</v>
      </c>
      <c r="M7" t="s">
        <v>68</v>
      </c>
      <c r="N7">
        <v>38</v>
      </c>
      <c r="O7">
        <v>2</v>
      </c>
      <c r="P7">
        <v>7</v>
      </c>
      <c r="Q7">
        <v>3</v>
      </c>
      <c r="S7" t="s">
        <v>146</v>
      </c>
      <c r="T7">
        <f>SUMIF($M:$M,"D*",N:N)</f>
        <v>86</v>
      </c>
      <c r="U7">
        <f t="shared" ref="U7:W7" si="4">SUMIF($M:$M,"D*",O:O)</f>
        <v>58</v>
      </c>
      <c r="V7">
        <f t="shared" si="4"/>
        <v>58</v>
      </c>
      <c r="W7">
        <f t="shared" si="4"/>
        <v>48</v>
      </c>
    </row>
    <row r="8" spans="1:24" x14ac:dyDescent="0.3">
      <c r="A8" t="s">
        <v>67</v>
      </c>
      <c r="B8">
        <v>9</v>
      </c>
      <c r="C8">
        <v>11</v>
      </c>
      <c r="D8">
        <v>11</v>
      </c>
      <c r="E8">
        <v>19</v>
      </c>
      <c r="M8" t="s">
        <v>88</v>
      </c>
      <c r="N8">
        <v>4</v>
      </c>
      <c r="O8">
        <v>7</v>
      </c>
      <c r="P8">
        <v>12</v>
      </c>
      <c r="Q8">
        <v>27</v>
      </c>
    </row>
    <row r="9" spans="1:24" x14ac:dyDescent="0.3">
      <c r="A9" t="s">
        <v>87</v>
      </c>
      <c r="B9">
        <v>8</v>
      </c>
      <c r="C9">
        <v>18</v>
      </c>
      <c r="D9">
        <v>13</v>
      </c>
      <c r="E9">
        <v>11</v>
      </c>
      <c r="M9" t="s">
        <v>108</v>
      </c>
      <c r="N9">
        <v>1</v>
      </c>
      <c r="O9">
        <v>29</v>
      </c>
      <c r="P9">
        <v>10</v>
      </c>
      <c r="Q9">
        <v>10</v>
      </c>
    </row>
    <row r="10" spans="1:24" x14ac:dyDescent="0.3">
      <c r="A10" t="s">
        <v>107</v>
      </c>
      <c r="B10">
        <v>12</v>
      </c>
      <c r="C10">
        <v>11</v>
      </c>
      <c r="D10">
        <v>16</v>
      </c>
      <c r="E10">
        <v>11</v>
      </c>
      <c r="M10" t="s">
        <v>128</v>
      </c>
      <c r="N10">
        <v>5</v>
      </c>
      <c r="O10">
        <v>11</v>
      </c>
      <c r="P10">
        <v>21</v>
      </c>
      <c r="Q10">
        <v>13</v>
      </c>
    </row>
    <row r="11" spans="1:24" x14ac:dyDescent="0.3">
      <c r="A11" t="s">
        <v>127</v>
      </c>
      <c r="B11">
        <v>22</v>
      </c>
      <c r="C11">
        <v>9</v>
      </c>
      <c r="D11">
        <v>11</v>
      </c>
      <c r="E11">
        <v>8</v>
      </c>
      <c r="M11" t="s">
        <v>70</v>
      </c>
      <c r="N11">
        <v>19</v>
      </c>
      <c r="O11">
        <v>8</v>
      </c>
      <c r="P11">
        <v>20</v>
      </c>
      <c r="Q11">
        <v>3</v>
      </c>
    </row>
    <row r="12" spans="1:24" x14ac:dyDescent="0.3">
      <c r="A12" t="s">
        <v>69</v>
      </c>
      <c r="B12">
        <v>39</v>
      </c>
      <c r="C12">
        <v>4</v>
      </c>
      <c r="D12">
        <v>6</v>
      </c>
      <c r="E12">
        <v>1</v>
      </c>
      <c r="M12" t="s">
        <v>90</v>
      </c>
      <c r="N12">
        <v>6</v>
      </c>
      <c r="O12">
        <v>26</v>
      </c>
      <c r="P12">
        <v>12</v>
      </c>
      <c r="Q12">
        <v>6</v>
      </c>
      <c r="S12" t="s">
        <v>152</v>
      </c>
      <c r="T12" t="s">
        <v>151</v>
      </c>
      <c r="U12" t="s">
        <v>11</v>
      </c>
      <c r="V12" t="s">
        <v>13</v>
      </c>
      <c r="W12" t="s">
        <v>14</v>
      </c>
      <c r="X12" t="s">
        <v>12</v>
      </c>
    </row>
    <row r="13" spans="1:24" x14ac:dyDescent="0.3">
      <c r="A13" t="s">
        <v>89</v>
      </c>
      <c r="B13">
        <v>5</v>
      </c>
      <c r="C13">
        <v>5</v>
      </c>
      <c r="D13">
        <v>8</v>
      </c>
      <c r="E13">
        <v>32</v>
      </c>
      <c r="M13" t="s">
        <v>110</v>
      </c>
      <c r="N13">
        <v>7</v>
      </c>
      <c r="O13">
        <v>8</v>
      </c>
      <c r="P13">
        <v>8</v>
      </c>
      <c r="Q13">
        <v>27</v>
      </c>
      <c r="S13" t="s">
        <v>147</v>
      </c>
      <c r="T13">
        <f>4*U13+3*V13+2*W13+X13</f>
        <v>1426</v>
      </c>
      <c r="U13">
        <f>T7+H4</f>
        <v>198</v>
      </c>
      <c r="V13">
        <f>U7+I4</f>
        <v>116</v>
      </c>
      <c r="W13">
        <f>V7+J4</f>
        <v>100</v>
      </c>
      <c r="X13">
        <f>W7+K4</f>
        <v>86</v>
      </c>
    </row>
    <row r="14" spans="1:24" x14ac:dyDescent="0.3">
      <c r="A14" t="s">
        <v>109</v>
      </c>
      <c r="B14">
        <v>5</v>
      </c>
      <c r="C14">
        <v>31</v>
      </c>
      <c r="D14">
        <v>8</v>
      </c>
      <c r="E14">
        <v>6</v>
      </c>
      <c r="M14" t="s">
        <v>130</v>
      </c>
      <c r="N14">
        <v>16</v>
      </c>
      <c r="O14">
        <v>8</v>
      </c>
      <c r="P14">
        <v>12</v>
      </c>
      <c r="Q14">
        <v>14</v>
      </c>
      <c r="S14" t="s">
        <v>148</v>
      </c>
      <c r="T14">
        <f>4*U14+3*V14+2*W14+X14</f>
        <v>1000</v>
      </c>
      <c r="U14">
        <f>T6+H5</f>
        <v>60</v>
      </c>
      <c r="V14">
        <f>U6+I5</f>
        <v>106</v>
      </c>
      <c r="W14">
        <f>V6+J5</f>
        <v>108</v>
      </c>
      <c r="X14">
        <f>W6+K5</f>
        <v>226</v>
      </c>
    </row>
    <row r="15" spans="1:24" x14ac:dyDescent="0.3">
      <c r="A15" t="s">
        <v>129</v>
      </c>
      <c r="B15">
        <v>4</v>
      </c>
      <c r="C15">
        <v>9</v>
      </c>
      <c r="D15">
        <v>27</v>
      </c>
      <c r="E15">
        <v>10</v>
      </c>
      <c r="M15" t="s">
        <v>72</v>
      </c>
      <c r="N15">
        <v>7</v>
      </c>
      <c r="O15">
        <v>11</v>
      </c>
      <c r="P15">
        <v>19</v>
      </c>
      <c r="Q15">
        <v>13</v>
      </c>
      <c r="S15" t="s">
        <v>149</v>
      </c>
      <c r="T15">
        <f>4*U15+3*V15+2*W15+X15</f>
        <v>1288</v>
      </c>
      <c r="U15">
        <f>T4+H7</f>
        <v>145</v>
      </c>
      <c r="V15">
        <f>U4+I7</f>
        <v>107</v>
      </c>
      <c r="W15">
        <f>V4+J7</f>
        <v>139</v>
      </c>
      <c r="X15">
        <f>W4+K7</f>
        <v>109</v>
      </c>
    </row>
    <row r="16" spans="1:24" x14ac:dyDescent="0.3">
      <c r="A16" t="s">
        <v>71</v>
      </c>
      <c r="B16">
        <v>21</v>
      </c>
      <c r="C16">
        <v>16</v>
      </c>
      <c r="D16">
        <v>8</v>
      </c>
      <c r="E16">
        <v>5</v>
      </c>
      <c r="M16" t="s">
        <v>92</v>
      </c>
      <c r="N16">
        <v>7</v>
      </c>
      <c r="O16">
        <v>26</v>
      </c>
      <c r="P16">
        <v>15</v>
      </c>
      <c r="Q16">
        <v>2</v>
      </c>
      <c r="S16" t="s">
        <v>150</v>
      </c>
      <c r="T16">
        <f>4*U16+3*V16+2*W16+X16</f>
        <v>1236</v>
      </c>
      <c r="U16">
        <f>T5+H6</f>
        <v>81</v>
      </c>
      <c r="V16">
        <f>U5+I6</f>
        <v>171</v>
      </c>
      <c r="W16">
        <f>V5+J6</f>
        <v>151</v>
      </c>
      <c r="X16">
        <f>W5+K6</f>
        <v>97</v>
      </c>
    </row>
    <row r="17" spans="1:17" x14ac:dyDescent="0.3">
      <c r="A17" t="s">
        <v>91</v>
      </c>
      <c r="B17">
        <v>7</v>
      </c>
      <c r="C17">
        <v>6</v>
      </c>
      <c r="D17">
        <v>11</v>
      </c>
      <c r="E17">
        <v>26</v>
      </c>
      <c r="M17" t="s">
        <v>112</v>
      </c>
      <c r="N17">
        <v>4</v>
      </c>
      <c r="O17">
        <v>6</v>
      </c>
      <c r="P17">
        <v>12</v>
      </c>
      <c r="Q17">
        <v>28</v>
      </c>
    </row>
    <row r="18" spans="1:17" x14ac:dyDescent="0.3">
      <c r="A18" t="s">
        <v>111</v>
      </c>
      <c r="B18">
        <v>17</v>
      </c>
      <c r="C18">
        <v>21</v>
      </c>
      <c r="D18">
        <v>8</v>
      </c>
      <c r="E18">
        <v>4</v>
      </c>
      <c r="M18" t="s">
        <v>132</v>
      </c>
      <c r="N18">
        <v>29</v>
      </c>
      <c r="O18">
        <v>5</v>
      </c>
      <c r="P18">
        <v>5</v>
      </c>
      <c r="Q18">
        <v>11</v>
      </c>
    </row>
    <row r="19" spans="1:17" x14ac:dyDescent="0.3">
      <c r="A19" t="s">
        <v>131</v>
      </c>
      <c r="B19">
        <v>2</v>
      </c>
      <c r="C19">
        <v>5</v>
      </c>
      <c r="D19">
        <v>20</v>
      </c>
      <c r="E19">
        <v>23</v>
      </c>
      <c r="M19" t="s">
        <v>74</v>
      </c>
      <c r="N19">
        <v>11</v>
      </c>
      <c r="O19">
        <v>11</v>
      </c>
      <c r="P19">
        <v>5</v>
      </c>
      <c r="Q19">
        <v>23</v>
      </c>
    </row>
    <row r="20" spans="1:17" x14ac:dyDescent="0.3">
      <c r="A20" t="s">
        <v>73</v>
      </c>
      <c r="B20">
        <v>31</v>
      </c>
      <c r="C20">
        <v>10</v>
      </c>
      <c r="D20">
        <v>4</v>
      </c>
      <c r="E20">
        <v>5</v>
      </c>
      <c r="M20" t="s">
        <v>94</v>
      </c>
      <c r="N20">
        <v>13</v>
      </c>
      <c r="O20">
        <v>12</v>
      </c>
      <c r="P20">
        <v>14</v>
      </c>
      <c r="Q20">
        <v>11</v>
      </c>
    </row>
    <row r="21" spans="1:17" x14ac:dyDescent="0.3">
      <c r="A21" t="s">
        <v>93</v>
      </c>
      <c r="B21">
        <v>7</v>
      </c>
      <c r="C21">
        <v>10</v>
      </c>
      <c r="D21">
        <v>10</v>
      </c>
      <c r="E21">
        <v>23</v>
      </c>
      <c r="M21" t="s">
        <v>114</v>
      </c>
      <c r="N21">
        <v>8</v>
      </c>
      <c r="O21">
        <v>17</v>
      </c>
      <c r="P21">
        <v>15</v>
      </c>
      <c r="Q21">
        <v>10</v>
      </c>
    </row>
    <row r="22" spans="1:17" x14ac:dyDescent="0.3">
      <c r="A22" t="s">
        <v>113</v>
      </c>
      <c r="B22">
        <v>5</v>
      </c>
      <c r="C22">
        <v>18</v>
      </c>
      <c r="D22">
        <v>22</v>
      </c>
      <c r="E22">
        <v>5</v>
      </c>
      <c r="M22" t="s">
        <v>134</v>
      </c>
      <c r="N22">
        <v>16</v>
      </c>
      <c r="O22">
        <v>13</v>
      </c>
      <c r="P22">
        <v>14</v>
      </c>
      <c r="Q22">
        <v>7</v>
      </c>
    </row>
    <row r="23" spans="1:17" x14ac:dyDescent="0.3">
      <c r="A23" t="s">
        <v>133</v>
      </c>
      <c r="B23">
        <v>4</v>
      </c>
      <c r="C23">
        <v>17</v>
      </c>
      <c r="D23">
        <v>15</v>
      </c>
      <c r="E23">
        <v>14</v>
      </c>
    </row>
  </sheetData>
  <phoneticPr fontId="7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CD0F6-EFD4-4719-B561-3A01747B389D}">
  <dimension ref="A3:J33"/>
  <sheetViews>
    <sheetView workbookViewId="0">
      <selection activeCell="F4" sqref="F4:F6"/>
    </sheetView>
  </sheetViews>
  <sheetFormatPr defaultRowHeight="14.4" x14ac:dyDescent="0.3"/>
  <cols>
    <col min="6" max="6" width="15.6640625" customWidth="1"/>
    <col min="7" max="7" width="11.88671875" customWidth="1"/>
  </cols>
  <sheetData>
    <row r="3" spans="1:10" x14ac:dyDescent="0.3">
      <c r="A3" t="s">
        <v>136</v>
      </c>
      <c r="B3" t="s">
        <v>11</v>
      </c>
      <c r="C3" t="s">
        <v>13</v>
      </c>
      <c r="D3" t="s">
        <v>14</v>
      </c>
      <c r="F3" t="s">
        <v>136</v>
      </c>
      <c r="G3" t="s">
        <v>151</v>
      </c>
      <c r="H3" t="s">
        <v>11</v>
      </c>
      <c r="I3" t="s">
        <v>13</v>
      </c>
      <c r="J3" t="s">
        <v>14</v>
      </c>
    </row>
    <row r="4" spans="1:10" x14ac:dyDescent="0.3">
      <c r="A4" t="s">
        <v>75</v>
      </c>
      <c r="B4">
        <v>4</v>
      </c>
      <c r="C4">
        <v>10</v>
      </c>
      <c r="D4">
        <v>36</v>
      </c>
      <c r="F4" t="s">
        <v>153</v>
      </c>
      <c r="G4">
        <f>3*H4+2*I4+J4</f>
        <v>950</v>
      </c>
      <c r="H4">
        <f>SUMIF($A:$A,"A*",B:B)</f>
        <v>161</v>
      </c>
      <c r="I4">
        <f>SUMIF($A:$A,"A*",C:C)</f>
        <v>128</v>
      </c>
      <c r="J4">
        <f>SUMIF($A:$A,"A*",D:D)</f>
        <v>211</v>
      </c>
    </row>
    <row r="5" spans="1:10" x14ac:dyDescent="0.3">
      <c r="A5" t="s">
        <v>95</v>
      </c>
      <c r="B5">
        <v>12</v>
      </c>
      <c r="C5">
        <v>32</v>
      </c>
      <c r="D5">
        <v>6</v>
      </c>
      <c r="F5" t="s">
        <v>154</v>
      </c>
      <c r="G5">
        <f t="shared" ref="G5:G6" si="0">3*H5+2*I5+J5</f>
        <v>1081</v>
      </c>
      <c r="H5">
        <f>SUMIF($A:$A,"B*",B:B)</f>
        <v>179</v>
      </c>
      <c r="I5">
        <f>SUMIF($A:$A,"B*",C:C)</f>
        <v>223</v>
      </c>
      <c r="J5">
        <f>SUMIF($A:$A,"B*",D:D)</f>
        <v>98</v>
      </c>
    </row>
    <row r="6" spans="1:10" x14ac:dyDescent="0.3">
      <c r="A6" t="s">
        <v>115</v>
      </c>
      <c r="B6">
        <v>32</v>
      </c>
      <c r="C6">
        <v>11</v>
      </c>
      <c r="D6">
        <v>7</v>
      </c>
      <c r="F6" t="s">
        <v>155</v>
      </c>
      <c r="G6">
        <f t="shared" si="0"/>
        <v>961</v>
      </c>
      <c r="H6">
        <f>SUMIF($A:$A,"C*",B:B)</f>
        <v>158</v>
      </c>
      <c r="I6">
        <f>SUMIF($A:$A,"C*",C:C)</f>
        <v>145</v>
      </c>
      <c r="J6">
        <f>SUMIF($A:$A,"C*",D:D)</f>
        <v>197</v>
      </c>
    </row>
    <row r="7" spans="1:10" x14ac:dyDescent="0.3">
      <c r="A7" t="s">
        <v>76</v>
      </c>
      <c r="B7">
        <v>10</v>
      </c>
      <c r="C7">
        <v>14</v>
      </c>
      <c r="D7">
        <v>26</v>
      </c>
    </row>
    <row r="8" spans="1:10" x14ac:dyDescent="0.3">
      <c r="A8" t="s">
        <v>96</v>
      </c>
      <c r="B8">
        <v>9</v>
      </c>
      <c r="C8">
        <v>27</v>
      </c>
      <c r="D8">
        <v>14</v>
      </c>
    </row>
    <row r="9" spans="1:10" x14ac:dyDescent="0.3">
      <c r="A9" t="s">
        <v>116</v>
      </c>
      <c r="B9">
        <v>29</v>
      </c>
      <c r="C9">
        <v>9</v>
      </c>
      <c r="D9">
        <v>12</v>
      </c>
    </row>
    <row r="10" spans="1:10" x14ac:dyDescent="0.3">
      <c r="A10" t="s">
        <v>77</v>
      </c>
      <c r="B10">
        <v>12</v>
      </c>
      <c r="C10">
        <v>25</v>
      </c>
      <c r="D10">
        <v>13</v>
      </c>
    </row>
    <row r="11" spans="1:10" x14ac:dyDescent="0.3">
      <c r="A11" t="s">
        <v>97</v>
      </c>
      <c r="B11">
        <v>30</v>
      </c>
      <c r="C11">
        <v>7</v>
      </c>
      <c r="D11">
        <v>13</v>
      </c>
    </row>
    <row r="12" spans="1:10" x14ac:dyDescent="0.3">
      <c r="A12" t="s">
        <v>117</v>
      </c>
      <c r="B12">
        <v>9</v>
      </c>
      <c r="C12">
        <v>20</v>
      </c>
      <c r="D12">
        <v>21</v>
      </c>
    </row>
    <row r="13" spans="1:10" x14ac:dyDescent="0.3">
      <c r="A13" t="s">
        <v>78</v>
      </c>
      <c r="B13">
        <v>35</v>
      </c>
      <c r="C13">
        <v>8</v>
      </c>
      <c r="D13">
        <v>7</v>
      </c>
    </row>
    <row r="14" spans="1:10" x14ac:dyDescent="0.3">
      <c r="A14" t="s">
        <v>98</v>
      </c>
      <c r="B14">
        <v>13</v>
      </c>
      <c r="C14">
        <v>35</v>
      </c>
      <c r="D14">
        <v>2</v>
      </c>
    </row>
    <row r="15" spans="1:10" x14ac:dyDescent="0.3">
      <c r="A15" t="s">
        <v>118</v>
      </c>
      <c r="B15">
        <v>7</v>
      </c>
      <c r="C15">
        <v>5</v>
      </c>
      <c r="D15">
        <v>38</v>
      </c>
    </row>
    <row r="16" spans="1:10" x14ac:dyDescent="0.3">
      <c r="A16" t="s">
        <v>79</v>
      </c>
      <c r="B16">
        <v>8</v>
      </c>
      <c r="C16">
        <v>10</v>
      </c>
      <c r="D16">
        <v>32</v>
      </c>
    </row>
    <row r="17" spans="1:4" x14ac:dyDescent="0.3">
      <c r="A17" t="s">
        <v>99</v>
      </c>
      <c r="B17">
        <v>13</v>
      </c>
      <c r="C17">
        <v>25</v>
      </c>
      <c r="D17">
        <v>12</v>
      </c>
    </row>
    <row r="18" spans="1:4" x14ac:dyDescent="0.3">
      <c r="A18" t="s">
        <v>119</v>
      </c>
      <c r="B18">
        <v>27</v>
      </c>
      <c r="C18">
        <v>14</v>
      </c>
      <c r="D18">
        <v>9</v>
      </c>
    </row>
    <row r="19" spans="1:4" x14ac:dyDescent="0.3">
      <c r="A19" t="s">
        <v>80</v>
      </c>
      <c r="B19">
        <v>32</v>
      </c>
      <c r="C19">
        <v>8</v>
      </c>
      <c r="D19">
        <v>10</v>
      </c>
    </row>
    <row r="20" spans="1:4" x14ac:dyDescent="0.3">
      <c r="A20" t="s">
        <v>100</v>
      </c>
      <c r="B20">
        <v>3</v>
      </c>
      <c r="C20">
        <v>19</v>
      </c>
      <c r="D20">
        <v>28</v>
      </c>
    </row>
    <row r="21" spans="1:4" x14ac:dyDescent="0.3">
      <c r="A21" t="s">
        <v>120</v>
      </c>
      <c r="B21">
        <v>13</v>
      </c>
      <c r="C21">
        <v>21</v>
      </c>
      <c r="D21">
        <v>16</v>
      </c>
    </row>
    <row r="22" spans="1:4" x14ac:dyDescent="0.3">
      <c r="A22" t="s">
        <v>81</v>
      </c>
      <c r="B22">
        <v>2</v>
      </c>
      <c r="C22">
        <v>13</v>
      </c>
      <c r="D22">
        <v>35</v>
      </c>
    </row>
    <row r="23" spans="1:4" x14ac:dyDescent="0.3">
      <c r="A23" t="s">
        <v>101</v>
      </c>
      <c r="B23">
        <v>30</v>
      </c>
      <c r="C23">
        <v>16</v>
      </c>
      <c r="D23">
        <v>4</v>
      </c>
    </row>
    <row r="24" spans="1:4" x14ac:dyDescent="0.3">
      <c r="A24" t="s">
        <v>121</v>
      </c>
      <c r="B24">
        <v>18</v>
      </c>
      <c r="C24">
        <v>21</v>
      </c>
      <c r="D24">
        <v>11</v>
      </c>
    </row>
    <row r="25" spans="1:4" x14ac:dyDescent="0.3">
      <c r="A25" t="s">
        <v>82</v>
      </c>
      <c r="B25">
        <v>3</v>
      </c>
      <c r="C25">
        <v>11</v>
      </c>
      <c r="D25">
        <v>36</v>
      </c>
    </row>
    <row r="26" spans="1:4" x14ac:dyDescent="0.3">
      <c r="A26" t="s">
        <v>102</v>
      </c>
      <c r="B26">
        <v>34</v>
      </c>
      <c r="C26">
        <v>12</v>
      </c>
      <c r="D26">
        <v>4</v>
      </c>
    </row>
    <row r="27" spans="1:4" x14ac:dyDescent="0.3">
      <c r="A27" t="s">
        <v>122</v>
      </c>
      <c r="B27">
        <v>11</v>
      </c>
      <c r="C27">
        <v>25</v>
      </c>
      <c r="D27">
        <v>14</v>
      </c>
    </row>
    <row r="28" spans="1:4" x14ac:dyDescent="0.3">
      <c r="A28" t="s">
        <v>83</v>
      </c>
      <c r="B28">
        <v>31</v>
      </c>
      <c r="C28">
        <v>9</v>
      </c>
      <c r="D28">
        <v>10</v>
      </c>
    </row>
    <row r="29" spans="1:4" x14ac:dyDescent="0.3">
      <c r="A29" t="s">
        <v>103</v>
      </c>
      <c r="B29">
        <v>14</v>
      </c>
      <c r="C29">
        <v>26</v>
      </c>
      <c r="D29">
        <v>10</v>
      </c>
    </row>
    <row r="30" spans="1:4" x14ac:dyDescent="0.3">
      <c r="A30" t="s">
        <v>123</v>
      </c>
      <c r="B30">
        <v>4</v>
      </c>
      <c r="C30">
        <v>14</v>
      </c>
      <c r="D30">
        <v>32</v>
      </c>
    </row>
    <row r="31" spans="1:4" x14ac:dyDescent="0.3">
      <c r="A31" t="s">
        <v>84</v>
      </c>
      <c r="B31">
        <v>24</v>
      </c>
      <c r="C31">
        <v>20</v>
      </c>
      <c r="D31">
        <v>6</v>
      </c>
    </row>
    <row r="32" spans="1:4" x14ac:dyDescent="0.3">
      <c r="A32" t="s">
        <v>104</v>
      </c>
      <c r="B32">
        <v>21</v>
      </c>
      <c r="C32">
        <v>24</v>
      </c>
      <c r="D32">
        <v>5</v>
      </c>
    </row>
    <row r="33" spans="1:4" x14ac:dyDescent="0.3">
      <c r="A33" t="s">
        <v>124</v>
      </c>
      <c r="B33">
        <v>8</v>
      </c>
      <c r="C33">
        <v>5</v>
      </c>
      <c r="D33">
        <v>37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45CC6-E9C5-410E-A44D-68A7585ECDC2}">
  <dimension ref="A1:BW72"/>
  <sheetViews>
    <sheetView topLeftCell="O1" workbookViewId="0">
      <selection activeCell="P43" sqref="P43:Z46"/>
    </sheetView>
  </sheetViews>
  <sheetFormatPr defaultRowHeight="14.4" x14ac:dyDescent="0.3"/>
  <cols>
    <col min="1" max="1" width="18.6640625" customWidth="1"/>
    <col min="2" max="2" width="19.21875" customWidth="1"/>
    <col min="9" max="9" width="17.33203125" customWidth="1"/>
    <col min="15" max="15" width="18.21875" customWidth="1"/>
    <col min="16" max="16" width="17.109375" customWidth="1"/>
    <col min="17" max="17" width="11.6640625" customWidth="1"/>
    <col min="23" max="23" width="13" customWidth="1"/>
  </cols>
  <sheetData>
    <row r="1" spans="1:75" x14ac:dyDescent="0.3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  <c r="AM1" s="17"/>
      <c r="AN1" s="17"/>
      <c r="AO1" s="17"/>
      <c r="AP1" s="17"/>
      <c r="AQ1" s="17"/>
      <c r="AR1" s="17"/>
      <c r="AS1" s="17"/>
      <c r="AT1" s="17"/>
      <c r="AU1" s="17"/>
      <c r="AV1" s="17"/>
      <c r="AW1" s="17"/>
      <c r="AX1" s="17"/>
      <c r="AY1" s="17"/>
      <c r="AZ1" s="17"/>
      <c r="BA1" s="17"/>
      <c r="BB1" s="17"/>
      <c r="BC1" s="17"/>
      <c r="BD1" s="17"/>
      <c r="BE1" s="17"/>
      <c r="BF1" s="17"/>
      <c r="BG1" s="17"/>
      <c r="BH1" s="17"/>
      <c r="BI1" s="17"/>
      <c r="BJ1" s="17"/>
      <c r="BK1" s="17"/>
      <c r="BL1" s="17"/>
      <c r="BM1" s="17"/>
      <c r="BN1" s="17"/>
      <c r="BO1" s="17"/>
      <c r="BP1" s="17"/>
      <c r="BQ1" s="17"/>
      <c r="BR1" s="17"/>
      <c r="BS1" s="17"/>
      <c r="BT1" s="17"/>
      <c r="BU1" s="17"/>
      <c r="BV1" s="17"/>
      <c r="BW1" s="17"/>
    </row>
    <row r="2" spans="1:75" x14ac:dyDescent="0.3">
      <c r="A2" s="1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</row>
    <row r="3" spans="1:75" x14ac:dyDescent="0.3">
      <c r="A3" s="1"/>
      <c r="B3" t="s">
        <v>61</v>
      </c>
      <c r="D3">
        <f>COUNTIF(Table1[How old are you?],"18 - 24 years old")</f>
        <v>27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</row>
    <row r="4" spans="1:75" x14ac:dyDescent="0.3">
      <c r="A4" s="1"/>
      <c r="B4" t="s">
        <v>62</v>
      </c>
      <c r="D4">
        <f>COUNTIF(Table1[How old are you?],"&lt;&gt;18 - 24 years old")</f>
        <v>23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</row>
    <row r="5" spans="1:75" x14ac:dyDescent="0.3">
      <c r="A5" s="1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</row>
    <row r="6" spans="1:75" x14ac:dyDescent="0.3">
      <c r="A6" s="1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</row>
    <row r="7" spans="1:75" x14ac:dyDescent="0.3">
      <c r="A7" s="1"/>
      <c r="B7" s="2" t="s">
        <v>156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P7" s="2" t="s">
        <v>157</v>
      </c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</row>
    <row r="8" spans="1:75" x14ac:dyDescent="0.3">
      <c r="A8" s="1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</row>
    <row r="9" spans="1:75" x14ac:dyDescent="0.3">
      <c r="A9" s="1"/>
      <c r="B9" t="s">
        <v>61</v>
      </c>
      <c r="D9" s="2"/>
      <c r="E9" s="2"/>
      <c r="F9" s="2"/>
      <c r="G9" s="2"/>
      <c r="H9" s="2"/>
      <c r="I9" t="s">
        <v>62</v>
      </c>
      <c r="J9" s="2"/>
      <c r="K9" s="2"/>
      <c r="L9" s="2"/>
      <c r="M9" s="2"/>
      <c r="N9" s="2"/>
      <c r="P9" t="s">
        <v>61</v>
      </c>
      <c r="R9" s="2"/>
      <c r="S9" s="2"/>
      <c r="T9" s="2"/>
      <c r="V9" t="s">
        <v>62</v>
      </c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</row>
    <row r="10" spans="1:75" x14ac:dyDescent="0.3">
      <c r="A10" s="1"/>
      <c r="B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P10" s="2"/>
      <c r="Q10" s="2"/>
      <c r="R10" s="2"/>
      <c r="S10" s="2"/>
      <c r="T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</row>
    <row r="11" spans="1:75" x14ac:dyDescent="0.3">
      <c r="A11" s="1"/>
      <c r="B11" s="2" t="s">
        <v>136</v>
      </c>
      <c r="C11" t="s">
        <v>11</v>
      </c>
      <c r="D11" s="2" t="s">
        <v>13</v>
      </c>
      <c r="E11" s="2" t="s">
        <v>14</v>
      </c>
      <c r="F11" s="2" t="s">
        <v>12</v>
      </c>
      <c r="G11" s="2"/>
      <c r="H11" s="2"/>
      <c r="I11" s="2" t="s">
        <v>136</v>
      </c>
      <c r="J11" t="s">
        <v>11</v>
      </c>
      <c r="K11" s="2" t="s">
        <v>13</v>
      </c>
      <c r="L11" s="2" t="s">
        <v>14</v>
      </c>
      <c r="M11" s="2" t="s">
        <v>12</v>
      </c>
      <c r="N11" s="2"/>
      <c r="P11" t="s">
        <v>136</v>
      </c>
      <c r="Q11" t="s">
        <v>11</v>
      </c>
      <c r="R11" t="s">
        <v>13</v>
      </c>
      <c r="S11" t="s">
        <v>14</v>
      </c>
      <c r="T11" s="2"/>
      <c r="V11" t="s">
        <v>136</v>
      </c>
      <c r="W11" t="s">
        <v>11</v>
      </c>
      <c r="X11" t="s">
        <v>13</v>
      </c>
      <c r="Y11" t="s">
        <v>14</v>
      </c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</row>
    <row r="12" spans="1:75" x14ac:dyDescent="0.3">
      <c r="A12" s="1"/>
      <c r="B12" s="2" t="s">
        <v>65</v>
      </c>
      <c r="C12">
        <f>COUNTIFS(
    INDEX(Table1[],,MATCH($B12,Table1[#Headers],0)), C$11,
    Table1[How old are you?], "18 - 24 years old"
)</f>
        <v>9</v>
      </c>
      <c r="D12">
        <f>COUNTIFS(
    INDEX(Table1[],,MATCH($B12,Table1[#Headers],0)), D$11,
    Table1[How old are you?], "18 - 24 years old"
)</f>
        <v>7</v>
      </c>
      <c r="E12">
        <f>COUNTIFS(
    INDEX(Table1[],,MATCH($B12,Table1[#Headers],0)), E$11,
    Table1[How old are you?], "18 - 24 years old"
)</f>
        <v>8</v>
      </c>
      <c r="F12">
        <f>COUNTIFS(
    INDEX(Table1[],,MATCH($B12,Table1[#Headers],0)), F$11,
    Table1[How old are you?], "18 - 24 years old"
)</f>
        <v>3</v>
      </c>
      <c r="G12" s="2"/>
      <c r="H12" s="2"/>
      <c r="I12" s="2" t="s">
        <v>65</v>
      </c>
      <c r="J12" s="2">
        <f>COUNTIFS(
    INDEX(Table1[],,MATCH($B12,Table1[#Headers],0)), C$11,
    Table1[How old are you?], "&lt;&gt;18 - 24 years old"
)</f>
        <v>3</v>
      </c>
      <c r="K12" s="2">
        <f>COUNTIFS(
    INDEX(Table1[],,MATCH($B12,Table1[#Headers],0)), D$11,
    Table1[How old are you?], "&lt;&gt;18 - 24 years old"
)</f>
        <v>10</v>
      </c>
      <c r="L12" s="2">
        <f>COUNTIFS(
    INDEX(Table1[],,MATCH($B12,Table1[#Headers],0)), E$11,
    Table1[How old are you?], "&lt;&gt;18 - 24 years old"
)</f>
        <v>5</v>
      </c>
      <c r="M12" s="2">
        <f>COUNTIFS(
    INDEX(Table1[],,MATCH($B12,Table1[#Headers],0)), F$11,
    Table1[How old are you?], "&lt;&gt;18 - 24 years old"
)</f>
        <v>5</v>
      </c>
      <c r="N12" s="2"/>
      <c r="P12" t="s">
        <v>75</v>
      </c>
      <c r="Q12">
        <f>COUNTIFS(
    INDEX(Table1[],,MATCH($P12,Table1[#Headers],0)), Q$11,
    Table1[How old are you?], "18 - 24 years old"
)</f>
        <v>3</v>
      </c>
      <c r="R12">
        <f>COUNTIFS(
    INDEX(Table1[],,MATCH($P12,Table1[#Headers],0)), R$11,
    Table1[How old are you?], "18 - 24 years old"
)</f>
        <v>7</v>
      </c>
      <c r="S12">
        <f>COUNTIFS(
    INDEX(Table1[],,MATCH($P12,Table1[#Headers],0)), S$11,
    Table1[How old are you?], "18 - 24 years old"
)</f>
        <v>17</v>
      </c>
      <c r="T12" s="2"/>
      <c r="V12" t="s">
        <v>75</v>
      </c>
      <c r="W12">
        <f>COUNTIFS(
    INDEX(Table1[],,MATCH($V12,Table1[#Headers],0)), W$11,
    Table1[How old are you?], "&lt;&gt;18 - 24 years old"
)</f>
        <v>1</v>
      </c>
      <c r="X12">
        <f>COUNTIFS(
    INDEX(Table1[],,MATCH($V12,Table1[#Headers],0)), X$11,
    Table1[How old are you?], "&lt;&gt;18 - 24 years old"
)</f>
        <v>3</v>
      </c>
      <c r="Y12">
        <f>COUNTIFS(
    INDEX(Table1[],,MATCH($V12,Table1[#Headers],0)), Y$11,
    Table1[How old are you?], "&lt;&gt;18 - 24 years old"
)</f>
        <v>19</v>
      </c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</row>
    <row r="13" spans="1:75" x14ac:dyDescent="0.3">
      <c r="A13" s="1"/>
      <c r="B13" s="2" t="s">
        <v>85</v>
      </c>
      <c r="C13">
        <f>COUNTIFS(
    INDEX(Table1[],,MATCH($B13,Table1[#Headers],0)), C$11,
    Table1[How old are you?], "18 - 24 years old"
)</f>
        <v>5</v>
      </c>
      <c r="D13">
        <f>COUNTIFS(
    INDEX(Table1[],,MATCH($B13,Table1[#Headers],0)), D$11,
    Table1[How old are you?], "18 - 24 years old"
)</f>
        <v>1</v>
      </c>
      <c r="E13">
        <f>COUNTIFS(
    INDEX(Table1[],,MATCH($B13,Table1[#Headers],0)), E$11,
    Table1[How old are you?], "18 - 24 years old"
)</f>
        <v>4</v>
      </c>
      <c r="F13">
        <f>COUNTIFS(
    INDEX(Table1[],,MATCH($B13,Table1[#Headers],0)), F$11,
    Table1[How old are you?], "18 - 24 years old"
)</f>
        <v>17</v>
      </c>
      <c r="G13" s="2"/>
      <c r="H13" s="2"/>
      <c r="I13" s="2" t="s">
        <v>85</v>
      </c>
      <c r="J13" s="2">
        <f>COUNTIFS(
    INDEX(Table1[],,MATCH($B13,Table1[#Headers],0)), C$11,
    Table1[How old are you?], "&lt;&gt;18 - 24 years old"
)</f>
        <v>5</v>
      </c>
      <c r="K13" s="2">
        <f>COUNTIFS(
    INDEX(Table1[],,MATCH($B13,Table1[#Headers],0)), D$11,
    Table1[How old are you?], "&lt;&gt;18 - 24 years old"
)</f>
        <v>2</v>
      </c>
      <c r="L13" s="2">
        <f>COUNTIFS(
    INDEX(Table1[],,MATCH($B13,Table1[#Headers],0)), E$11,
    Table1[How old are you?], "&lt;&gt;18 - 24 years old"
)</f>
        <v>2</v>
      </c>
      <c r="M13" s="2">
        <f>COUNTIFS(
    INDEX(Table1[],,MATCH($B13,Table1[#Headers],0)), F$11,
    Table1[How old are you?], "&lt;&gt;18 - 24 years old"
)</f>
        <v>14</v>
      </c>
      <c r="N13" s="2"/>
      <c r="P13" t="s">
        <v>95</v>
      </c>
      <c r="Q13">
        <f>COUNTIFS(
    INDEX(Table1[],,MATCH($P13,Table1[#Headers],0)), Q$11,
    Table1[How old are you?], "18 - 24 years old"
)</f>
        <v>6</v>
      </c>
      <c r="R13">
        <f>COUNTIFS(
    INDEX(Table1[],,MATCH($P13,Table1[#Headers],0)), R$11,
    Table1[How old are you?], "18 - 24 years old"
)</f>
        <v>16</v>
      </c>
      <c r="S13">
        <f>COUNTIFS(
    INDEX(Table1[],,MATCH($P13,Table1[#Headers],0)), S$11,
    Table1[How old are you?], "18 - 24 years old"
)</f>
        <v>5</v>
      </c>
      <c r="T13" s="2"/>
      <c r="V13" t="s">
        <v>95</v>
      </c>
      <c r="W13">
        <f>COUNTIFS(
    INDEX(Table1[],,MATCH($V13,Table1[#Headers],0)), W$11,
    Table1[How old are you?], "&lt;&gt;18 - 24 years old"
)</f>
        <v>6</v>
      </c>
      <c r="X13">
        <f>COUNTIFS(
    INDEX(Table1[],,MATCH($V13,Table1[#Headers],0)), X$11,
    Table1[How old are you?], "&lt;&gt;18 - 24 years old"
)</f>
        <v>16</v>
      </c>
      <c r="Y13">
        <f>COUNTIFS(
    INDEX(Table1[],,MATCH($V13,Table1[#Headers],0)), Y$11,
    Table1[How old are you?], "&lt;&gt;18 - 24 years old"
)</f>
        <v>1</v>
      </c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</row>
    <row r="14" spans="1:75" x14ac:dyDescent="0.3">
      <c r="A14" s="1"/>
      <c r="B14" s="2" t="s">
        <v>105</v>
      </c>
      <c r="C14">
        <f>COUNTIFS(
    INDEX(Table1[],,MATCH($B14,Table1[#Headers],0)), C$11,
    Table1[How old are you?], "18 - 24 years old"
)</f>
        <v>5</v>
      </c>
      <c r="D14">
        <f>COUNTIFS(
    INDEX(Table1[],,MATCH($B14,Table1[#Headers],0)), D$11,
    Table1[How old are you?], "18 - 24 years old"
)</f>
        <v>9</v>
      </c>
      <c r="E14">
        <f>COUNTIFS(
    INDEX(Table1[],,MATCH($B14,Table1[#Headers],0)), E$11,
    Table1[How old are you?], "18 - 24 years old"
)</f>
        <v>6</v>
      </c>
      <c r="F14">
        <f>COUNTIFS(
    INDEX(Table1[],,MATCH($B14,Table1[#Headers],0)), F$11,
    Table1[How old are you?], "18 - 24 years old"
)</f>
        <v>7</v>
      </c>
      <c r="G14" s="2"/>
      <c r="H14" s="2"/>
      <c r="I14" s="2" t="s">
        <v>105</v>
      </c>
      <c r="J14" s="2">
        <f>COUNTIFS(
    INDEX(Table1[],,MATCH($B14,Table1[#Headers],0)), C$11,
    Table1[How old are you?], "&lt;&gt;18 - 24 years old"
)</f>
        <v>5</v>
      </c>
      <c r="K14" s="2">
        <f>COUNTIFS(
    INDEX(Table1[],,MATCH($B14,Table1[#Headers],0)), D$11,
    Table1[How old are you?], "&lt;&gt;18 - 24 years old"
)</f>
        <v>6</v>
      </c>
      <c r="L14" s="2">
        <f>COUNTIFS(
    INDEX(Table1[],,MATCH($B14,Table1[#Headers],0)), E$11,
    Table1[How old are you?], "&lt;&gt;18 - 24 years old"
)</f>
        <v>7</v>
      </c>
      <c r="M14" s="2">
        <f>COUNTIFS(
    INDEX(Table1[],,MATCH($B14,Table1[#Headers],0)), F$11,
    Table1[How old are you?], "&lt;&gt;18 - 24 years old"
)</f>
        <v>5</v>
      </c>
      <c r="N14" s="2"/>
      <c r="P14" t="s">
        <v>115</v>
      </c>
      <c r="Q14">
        <f>COUNTIFS(
    INDEX(Table1[],,MATCH($P14,Table1[#Headers],0)), Q$11,
    Table1[How old are you?], "18 - 24 years old"
)</f>
        <v>16</v>
      </c>
      <c r="R14">
        <f>COUNTIFS(
    INDEX(Table1[],,MATCH($P14,Table1[#Headers],0)), R$11,
    Table1[How old are you?], "18 - 24 years old"
)</f>
        <v>7</v>
      </c>
      <c r="S14">
        <f>COUNTIFS(
    INDEX(Table1[],,MATCH($P14,Table1[#Headers],0)), S$11,
    Table1[How old are you?], "18 - 24 years old"
)</f>
        <v>4</v>
      </c>
      <c r="T14" s="2"/>
      <c r="V14" t="s">
        <v>115</v>
      </c>
      <c r="W14">
        <f>COUNTIFS(
    INDEX(Table1[],,MATCH($V14,Table1[#Headers],0)), W$11,
    Table1[How old are you?], "&lt;&gt;18 - 24 years old"
)</f>
        <v>16</v>
      </c>
      <c r="X14">
        <f>COUNTIFS(
    INDEX(Table1[],,MATCH($V14,Table1[#Headers],0)), X$11,
    Table1[How old are you?], "&lt;&gt;18 - 24 years old"
)</f>
        <v>4</v>
      </c>
      <c r="Y14">
        <f>COUNTIFS(
    INDEX(Table1[],,MATCH($V14,Table1[#Headers],0)), Y$11,
    Table1[How old are you?], "&lt;&gt;18 - 24 years old"
)</f>
        <v>3</v>
      </c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</row>
    <row r="15" spans="1:75" x14ac:dyDescent="0.3">
      <c r="A15" s="1"/>
      <c r="B15" s="2" t="s">
        <v>125</v>
      </c>
      <c r="C15">
        <f>COUNTIFS(
    INDEX(Table1[],,MATCH($B15,Table1[#Headers],0)), C$11,
    Table1[How old are you?], "18 - 24 years old"
)</f>
        <v>6</v>
      </c>
      <c r="D15">
        <f>COUNTIFS(
    INDEX(Table1[],,MATCH($B15,Table1[#Headers],0)), D$11,
    Table1[How old are you?], "18 - 24 years old"
)</f>
        <v>10</v>
      </c>
      <c r="E15">
        <f>COUNTIFS(
    INDEX(Table1[],,MATCH($B15,Table1[#Headers],0)), E$11,
    Table1[How old are you?], "18 - 24 years old"
)</f>
        <v>8</v>
      </c>
      <c r="F15">
        <f>COUNTIFS(
    INDEX(Table1[],,MATCH($B15,Table1[#Headers],0)), F$11,
    Table1[How old are you?], "18 - 24 years old"
)</f>
        <v>3</v>
      </c>
      <c r="G15" s="2"/>
      <c r="H15" s="2"/>
      <c r="I15" s="2" t="s">
        <v>125</v>
      </c>
      <c r="J15" s="2">
        <f>COUNTIFS(
    INDEX(Table1[],,MATCH($B15,Table1[#Headers],0)), C$11,
    Table1[How old are you?], "&lt;&gt;18 - 24 years old"
)</f>
        <v>9</v>
      </c>
      <c r="K15" s="2">
        <f>COUNTIFS(
    INDEX(Table1[],,MATCH($B15,Table1[#Headers],0)), D$11,
    Table1[How old are you?], "&lt;&gt;18 - 24 years old"
)</f>
        <v>4</v>
      </c>
      <c r="L15" s="2">
        <f>COUNTIFS(
    INDEX(Table1[],,MATCH($B15,Table1[#Headers],0)), E$11,
    Table1[How old are you?], "&lt;&gt;18 - 24 years old"
)</f>
        <v>7</v>
      </c>
      <c r="M15" s="2">
        <f>COUNTIFS(
    INDEX(Table1[],,MATCH($B15,Table1[#Headers],0)), F$11,
    Table1[How old are you?], "&lt;&gt;18 - 24 years old"
)</f>
        <v>3</v>
      </c>
      <c r="N15" s="2"/>
      <c r="P15" t="s">
        <v>76</v>
      </c>
      <c r="Q15">
        <f>COUNTIFS(
    INDEX(Table1[],,MATCH($P15,Table1[#Headers],0)), Q$11,
    Table1[How old are you?], "18 - 24 years old"
)</f>
        <v>4</v>
      </c>
      <c r="R15">
        <f>COUNTIFS(
    INDEX(Table1[],,MATCH($P15,Table1[#Headers],0)), R$11,
    Table1[How old are you?], "18 - 24 years old"
)</f>
        <v>8</v>
      </c>
      <c r="S15">
        <f>COUNTIFS(
    INDEX(Table1[],,MATCH($P15,Table1[#Headers],0)), S$11,
    Table1[How old are you?], "18 - 24 years old"
)</f>
        <v>15</v>
      </c>
      <c r="T15" s="2"/>
      <c r="V15" t="s">
        <v>76</v>
      </c>
      <c r="W15">
        <f>COUNTIFS(
    INDEX(Table1[],,MATCH($V15,Table1[#Headers],0)), W$11,
    Table1[How old are you?], "&lt;&gt;18 - 24 years old"
)</f>
        <v>6</v>
      </c>
      <c r="X15">
        <f>COUNTIFS(
    INDEX(Table1[],,MATCH($V15,Table1[#Headers],0)), X$11,
    Table1[How old are you?], "&lt;&gt;18 - 24 years old"
)</f>
        <v>6</v>
      </c>
      <c r="Y15">
        <f>COUNTIFS(
    INDEX(Table1[],,MATCH($V15,Table1[#Headers],0)), Y$11,
    Table1[How old are you?], "&lt;&gt;18 - 24 years old"
)</f>
        <v>11</v>
      </c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</row>
    <row r="16" spans="1:75" x14ac:dyDescent="0.3">
      <c r="A16" s="1"/>
      <c r="B16" s="2" t="s">
        <v>67</v>
      </c>
      <c r="C16">
        <f>COUNTIFS(
    INDEX(Table1[],,MATCH($B16,Table1[#Headers],0)), C$11,
    Table1[How old are you?], "18 - 24 years old"
)</f>
        <v>4</v>
      </c>
      <c r="D16">
        <f>COUNTIFS(
    INDEX(Table1[],,MATCH($B16,Table1[#Headers],0)), D$11,
    Table1[How old are you?], "18 - 24 years old"
)</f>
        <v>7</v>
      </c>
      <c r="E16">
        <f>COUNTIFS(
    INDEX(Table1[],,MATCH($B16,Table1[#Headers],0)), E$11,
    Table1[How old are you?], "18 - 24 years old"
)</f>
        <v>5</v>
      </c>
      <c r="F16">
        <f>COUNTIFS(
    INDEX(Table1[],,MATCH($B16,Table1[#Headers],0)), F$11,
    Table1[How old are you?], "18 - 24 years old"
)</f>
        <v>11</v>
      </c>
      <c r="G16" s="2"/>
      <c r="H16" s="2"/>
      <c r="I16" s="2" t="s">
        <v>67</v>
      </c>
      <c r="J16" s="2">
        <f>COUNTIFS(
    INDEX(Table1[],,MATCH($B16,Table1[#Headers],0)), C$11,
    Table1[How old are you?], "&lt;&gt;18 - 24 years old"
)</f>
        <v>5</v>
      </c>
      <c r="K16" s="2">
        <f>COUNTIFS(
    INDEX(Table1[],,MATCH($B16,Table1[#Headers],0)), D$11,
    Table1[How old are you?], "&lt;&gt;18 - 24 years old"
)</f>
        <v>4</v>
      </c>
      <c r="L16" s="2">
        <f>COUNTIFS(
    INDEX(Table1[],,MATCH($B16,Table1[#Headers],0)), E$11,
    Table1[How old are you?], "&lt;&gt;18 - 24 years old"
)</f>
        <v>6</v>
      </c>
      <c r="M16" s="2">
        <f>COUNTIFS(
    INDEX(Table1[],,MATCH($B16,Table1[#Headers],0)), F$11,
    Table1[How old are you?], "&lt;&gt;18 - 24 years old"
)</f>
        <v>8</v>
      </c>
      <c r="N16" s="2"/>
      <c r="P16" t="s">
        <v>96</v>
      </c>
      <c r="Q16">
        <f>COUNTIFS(
    INDEX(Table1[],,MATCH($P16,Table1[#Headers],0)), Q$11,
    Table1[How old are you?], "18 - 24 years old"
)</f>
        <v>2</v>
      </c>
      <c r="R16">
        <f>COUNTIFS(
    INDEX(Table1[],,MATCH($P16,Table1[#Headers],0)), R$11,
    Table1[How old are you?], "18 - 24 years old"
)</f>
        <v>16</v>
      </c>
      <c r="S16">
        <f>COUNTIFS(
    INDEX(Table1[],,MATCH($P16,Table1[#Headers],0)), S$11,
    Table1[How old are you?], "18 - 24 years old"
)</f>
        <v>9</v>
      </c>
      <c r="T16" s="2"/>
      <c r="V16" t="s">
        <v>96</v>
      </c>
      <c r="W16">
        <f>COUNTIFS(
    INDEX(Table1[],,MATCH($V16,Table1[#Headers],0)), W$11,
    Table1[How old are you?], "&lt;&gt;18 - 24 years old"
)</f>
        <v>7</v>
      </c>
      <c r="X16">
        <f>COUNTIFS(
    INDEX(Table1[],,MATCH($V16,Table1[#Headers],0)), X$11,
    Table1[How old are you?], "&lt;&gt;18 - 24 years old"
)</f>
        <v>11</v>
      </c>
      <c r="Y16">
        <f>COUNTIFS(
    INDEX(Table1[],,MATCH($V16,Table1[#Headers],0)), Y$11,
    Table1[How old are you?], "&lt;&gt;18 - 24 years old"
)</f>
        <v>5</v>
      </c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</row>
    <row r="17" spans="1:75" x14ac:dyDescent="0.3">
      <c r="A17" s="1"/>
      <c r="B17" s="2" t="s">
        <v>87</v>
      </c>
      <c r="C17">
        <f>COUNTIFS(
    INDEX(Table1[],,MATCH($B17,Table1[#Headers],0)), C$11,
    Table1[How old are you?], "18 - 24 years old"
)</f>
        <v>3</v>
      </c>
      <c r="D17">
        <f>COUNTIFS(
    INDEX(Table1[],,MATCH($B17,Table1[#Headers],0)), D$11,
    Table1[How old are you?], "18 - 24 years old"
)</f>
        <v>11</v>
      </c>
      <c r="E17">
        <f>COUNTIFS(
    INDEX(Table1[],,MATCH($B17,Table1[#Headers],0)), E$11,
    Table1[How old are you?], "18 - 24 years old"
)</f>
        <v>6</v>
      </c>
      <c r="F17">
        <f>COUNTIFS(
    INDEX(Table1[],,MATCH($B17,Table1[#Headers],0)), F$11,
    Table1[How old are you?], "18 - 24 years old"
)</f>
        <v>7</v>
      </c>
      <c r="G17" s="2"/>
      <c r="H17" s="2"/>
      <c r="I17" s="2" t="s">
        <v>87</v>
      </c>
      <c r="J17" s="2">
        <f>COUNTIFS(
    INDEX(Table1[],,MATCH($B17,Table1[#Headers],0)), C$11,
    Table1[How old are you?], "&lt;&gt;18 - 24 years old"
)</f>
        <v>5</v>
      </c>
      <c r="K17" s="2">
        <f>COUNTIFS(
    INDEX(Table1[],,MATCH($B17,Table1[#Headers],0)), D$11,
    Table1[How old are you?], "&lt;&gt;18 - 24 years old"
)</f>
        <v>7</v>
      </c>
      <c r="L17" s="2">
        <f>COUNTIFS(
    INDEX(Table1[],,MATCH($B17,Table1[#Headers],0)), E$11,
    Table1[How old are you?], "&lt;&gt;18 - 24 years old"
)</f>
        <v>7</v>
      </c>
      <c r="M17" s="2">
        <f>COUNTIFS(
    INDEX(Table1[],,MATCH($B17,Table1[#Headers],0)), F$11,
    Table1[How old are you?], "&lt;&gt;18 - 24 years old"
)</f>
        <v>4</v>
      </c>
      <c r="N17" s="2"/>
      <c r="P17" t="s">
        <v>116</v>
      </c>
      <c r="Q17">
        <f>COUNTIFS(
    INDEX(Table1[],,MATCH($P17,Table1[#Headers],0)), Q$11,
    Table1[How old are you?], "18 - 24 years old"
)</f>
        <v>19</v>
      </c>
      <c r="R17">
        <f>COUNTIFS(
    INDEX(Table1[],,MATCH($P17,Table1[#Headers],0)), R$11,
    Table1[How old are you?], "18 - 24 years old"
)</f>
        <v>4</v>
      </c>
      <c r="S17">
        <f>COUNTIFS(
    INDEX(Table1[],,MATCH($P17,Table1[#Headers],0)), S$11,
    Table1[How old are you?], "18 - 24 years old"
)</f>
        <v>4</v>
      </c>
      <c r="T17" s="2"/>
      <c r="V17" t="s">
        <v>116</v>
      </c>
      <c r="W17">
        <f>COUNTIFS(
    INDEX(Table1[],,MATCH($V17,Table1[#Headers],0)), W$11,
    Table1[How old are you?], "&lt;&gt;18 - 24 years old"
)</f>
        <v>10</v>
      </c>
      <c r="X17">
        <f>COUNTIFS(
    INDEX(Table1[],,MATCH($V17,Table1[#Headers],0)), X$11,
    Table1[How old are you?], "&lt;&gt;18 - 24 years old"
)</f>
        <v>5</v>
      </c>
      <c r="Y17">
        <f>COUNTIFS(
    INDEX(Table1[],,MATCH($V17,Table1[#Headers],0)), Y$11,
    Table1[How old are you?], "&lt;&gt;18 - 24 years old"
)</f>
        <v>8</v>
      </c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</row>
    <row r="18" spans="1:75" x14ac:dyDescent="0.3">
      <c r="A18" s="1"/>
      <c r="B18" s="2" t="s">
        <v>107</v>
      </c>
      <c r="C18">
        <f>COUNTIFS(
    INDEX(Table1[],,MATCH($B18,Table1[#Headers],0)), C$11,
    Table1[How old are you?], "18 - 24 years old"
)</f>
        <v>8</v>
      </c>
      <c r="D18">
        <f>COUNTIFS(
    INDEX(Table1[],,MATCH($B18,Table1[#Headers],0)), D$11,
    Table1[How old are you?], "18 - 24 years old"
)</f>
        <v>6</v>
      </c>
      <c r="E18">
        <f>COUNTIFS(
    INDEX(Table1[],,MATCH($B18,Table1[#Headers],0)), E$11,
    Table1[How old are you?], "18 - 24 years old"
)</f>
        <v>8</v>
      </c>
      <c r="F18">
        <f>COUNTIFS(
    INDEX(Table1[],,MATCH($B18,Table1[#Headers],0)), F$11,
    Table1[How old are you?], "18 - 24 years old"
)</f>
        <v>5</v>
      </c>
      <c r="G18" s="2"/>
      <c r="H18" s="2"/>
      <c r="I18" s="2" t="s">
        <v>107</v>
      </c>
      <c r="J18" s="2">
        <f>COUNTIFS(
    INDEX(Table1[],,MATCH($B18,Table1[#Headers],0)), C$11,
    Table1[How old are you?], "&lt;&gt;18 - 24 years old"
)</f>
        <v>4</v>
      </c>
      <c r="K18" s="2">
        <f>COUNTIFS(
    INDEX(Table1[],,MATCH($B18,Table1[#Headers],0)), D$11,
    Table1[How old are you?], "&lt;&gt;18 - 24 years old"
)</f>
        <v>5</v>
      </c>
      <c r="L18" s="2">
        <f>COUNTIFS(
    INDEX(Table1[],,MATCH($B18,Table1[#Headers],0)), E$11,
    Table1[How old are you?], "&lt;&gt;18 - 24 years old"
)</f>
        <v>8</v>
      </c>
      <c r="M18" s="2">
        <f>COUNTIFS(
    INDEX(Table1[],,MATCH($B18,Table1[#Headers],0)), F$11,
    Table1[How old are you?], "&lt;&gt;18 - 24 years old"
)</f>
        <v>6</v>
      </c>
      <c r="N18" s="2"/>
      <c r="P18" t="s">
        <v>77</v>
      </c>
      <c r="Q18">
        <f>COUNTIFS(
    INDEX(Table1[],,MATCH($P18,Table1[#Headers],0)), Q$11,
    Table1[How old are you?], "18 - 24 years old"
)</f>
        <v>6</v>
      </c>
      <c r="R18">
        <f>COUNTIFS(
    INDEX(Table1[],,MATCH($P18,Table1[#Headers],0)), R$11,
    Table1[How old are you?], "18 - 24 years old"
)</f>
        <v>12</v>
      </c>
      <c r="S18">
        <f>COUNTIFS(
    INDEX(Table1[],,MATCH($P18,Table1[#Headers],0)), S$11,
    Table1[How old are you?], "18 - 24 years old"
)</f>
        <v>9</v>
      </c>
      <c r="T18" s="2"/>
      <c r="V18" t="s">
        <v>77</v>
      </c>
      <c r="W18">
        <f>COUNTIFS(
    INDEX(Table1[],,MATCH($V18,Table1[#Headers],0)), W$11,
    Table1[How old are you?], "&lt;&gt;18 - 24 years old"
)</f>
        <v>6</v>
      </c>
      <c r="X18">
        <f>COUNTIFS(
    INDEX(Table1[],,MATCH($V18,Table1[#Headers],0)), X$11,
    Table1[How old are you?], "&lt;&gt;18 - 24 years old"
)</f>
        <v>13</v>
      </c>
      <c r="Y18">
        <f>COUNTIFS(
    INDEX(Table1[],,MATCH($V18,Table1[#Headers],0)), Y$11,
    Table1[How old are you?], "&lt;&gt;18 - 24 years old"
)</f>
        <v>4</v>
      </c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</row>
    <row r="19" spans="1:75" x14ac:dyDescent="0.3">
      <c r="A19" s="1"/>
      <c r="B19" s="2" t="s">
        <v>127</v>
      </c>
      <c r="C19">
        <f>COUNTIFS(
    INDEX(Table1[],,MATCH($B19,Table1[#Headers],0)), C$11,
    Table1[How old are you?], "18 - 24 years old"
)</f>
        <v>13</v>
      </c>
      <c r="D19">
        <f>COUNTIFS(
    INDEX(Table1[],,MATCH($B19,Table1[#Headers],0)), D$11,
    Table1[How old are you?], "18 - 24 years old"
)</f>
        <v>3</v>
      </c>
      <c r="E19">
        <f>COUNTIFS(
    INDEX(Table1[],,MATCH($B19,Table1[#Headers],0)), E$11,
    Table1[How old are you?], "18 - 24 years old"
)</f>
        <v>8</v>
      </c>
      <c r="F19">
        <f>COUNTIFS(
    INDEX(Table1[],,MATCH($B19,Table1[#Headers],0)), F$11,
    Table1[How old are you?], "18 - 24 years old"
)</f>
        <v>3</v>
      </c>
      <c r="G19" s="2"/>
      <c r="H19" s="2"/>
      <c r="I19" s="2" t="s">
        <v>127</v>
      </c>
      <c r="J19" s="2">
        <f>COUNTIFS(
    INDEX(Table1[],,MATCH($B19,Table1[#Headers],0)), C$11,
    Table1[How old are you?], "&lt;&gt;18 - 24 years old"
)</f>
        <v>9</v>
      </c>
      <c r="K19" s="2">
        <f>COUNTIFS(
    INDEX(Table1[],,MATCH($B19,Table1[#Headers],0)), D$11,
    Table1[How old are you?], "&lt;&gt;18 - 24 years old"
)</f>
        <v>6</v>
      </c>
      <c r="L19" s="2">
        <f>COUNTIFS(
    INDEX(Table1[],,MATCH($B19,Table1[#Headers],0)), E$11,
    Table1[How old are you?], "&lt;&gt;18 - 24 years old"
)</f>
        <v>3</v>
      </c>
      <c r="M19" s="2">
        <f>COUNTIFS(
    INDEX(Table1[],,MATCH($B19,Table1[#Headers],0)), F$11,
    Table1[How old are you?], "&lt;&gt;18 - 24 years old"
)</f>
        <v>5</v>
      </c>
      <c r="N19" s="2"/>
      <c r="P19" t="s">
        <v>97</v>
      </c>
      <c r="Q19">
        <f>COUNTIFS(
    INDEX(Table1[],,MATCH($P19,Table1[#Headers],0)), Q$11,
    Table1[How old are you?], "18 - 24 years old"
)</f>
        <v>15</v>
      </c>
      <c r="R19">
        <f>COUNTIFS(
    INDEX(Table1[],,MATCH($P19,Table1[#Headers],0)), R$11,
    Table1[How old are you?], "18 - 24 years old"
)</f>
        <v>2</v>
      </c>
      <c r="S19">
        <f>COUNTIFS(
    INDEX(Table1[],,MATCH($P19,Table1[#Headers],0)), S$11,
    Table1[How old are you?], "18 - 24 years old"
)</f>
        <v>10</v>
      </c>
      <c r="T19" s="2"/>
      <c r="V19" t="s">
        <v>97</v>
      </c>
      <c r="W19">
        <f>COUNTIFS(
    INDEX(Table1[],,MATCH($V19,Table1[#Headers],0)), W$11,
    Table1[How old are you?], "&lt;&gt;18 - 24 years old"
)</f>
        <v>15</v>
      </c>
      <c r="X19">
        <f>COUNTIFS(
    INDEX(Table1[],,MATCH($V19,Table1[#Headers],0)), X$11,
    Table1[How old are you?], "&lt;&gt;18 - 24 years old"
)</f>
        <v>5</v>
      </c>
      <c r="Y19">
        <f>COUNTIFS(
    INDEX(Table1[],,MATCH($V19,Table1[#Headers],0)), Y$11,
    Table1[How old are you?], "&lt;&gt;18 - 24 years old"
)</f>
        <v>3</v>
      </c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</row>
    <row r="20" spans="1:75" x14ac:dyDescent="0.3">
      <c r="A20" s="1"/>
      <c r="B20" s="2" t="s">
        <v>69</v>
      </c>
      <c r="C20">
        <f>COUNTIFS(
    INDEX(Table1[],,MATCH($B20,Table1[#Headers],0)), C$11,
    Table1[How old are you?], "18 - 24 years old"
)</f>
        <v>23</v>
      </c>
      <c r="D20">
        <f>COUNTIFS(
    INDEX(Table1[],,MATCH($B20,Table1[#Headers],0)), D$11,
    Table1[How old are you?], "18 - 24 years old"
)</f>
        <v>2</v>
      </c>
      <c r="E20">
        <f>COUNTIFS(
    INDEX(Table1[],,MATCH($B20,Table1[#Headers],0)), E$11,
    Table1[How old are you?], "18 - 24 years old"
)</f>
        <v>2</v>
      </c>
      <c r="F20">
        <f>COUNTIFS(
    INDEX(Table1[],,MATCH($B20,Table1[#Headers],0)), F$11,
    Table1[How old are you?], "18 - 24 years old"
)</f>
        <v>0</v>
      </c>
      <c r="G20" s="2"/>
      <c r="H20" s="2"/>
      <c r="I20" s="2" t="s">
        <v>69</v>
      </c>
      <c r="J20" s="2">
        <f>COUNTIFS(
    INDEX(Table1[],,MATCH($B20,Table1[#Headers],0)), C$11,
    Table1[How old are you?], "&lt;&gt;18 - 24 years old"
)</f>
        <v>16</v>
      </c>
      <c r="K20" s="2">
        <f>COUNTIFS(
    INDEX(Table1[],,MATCH($B20,Table1[#Headers],0)), D$11,
    Table1[How old are you?], "&lt;&gt;18 - 24 years old"
)</f>
        <v>2</v>
      </c>
      <c r="L20" s="2">
        <f>COUNTIFS(
    INDEX(Table1[],,MATCH($B20,Table1[#Headers],0)), E$11,
    Table1[How old are you?], "&lt;&gt;18 - 24 years old"
)</f>
        <v>4</v>
      </c>
      <c r="M20" s="2">
        <f>COUNTIFS(
    INDEX(Table1[],,MATCH($B20,Table1[#Headers],0)), F$11,
    Table1[How old are you?], "&lt;&gt;18 - 24 years old"
)</f>
        <v>1</v>
      </c>
      <c r="N20" s="2"/>
      <c r="P20" t="s">
        <v>117</v>
      </c>
      <c r="Q20">
        <f>COUNTIFS(
    INDEX(Table1[],,MATCH($P20,Table1[#Headers],0)), Q$11,
    Table1[How old are you?], "18 - 24 years old"
)</f>
        <v>7</v>
      </c>
      <c r="R20">
        <f>COUNTIFS(
    INDEX(Table1[],,MATCH($P20,Table1[#Headers],0)), R$11,
    Table1[How old are you?], "18 - 24 years old"
)</f>
        <v>15</v>
      </c>
      <c r="S20">
        <f>COUNTIFS(
    INDEX(Table1[],,MATCH($P20,Table1[#Headers],0)), S$11,
    Table1[How old are you?], "18 - 24 years old"
)</f>
        <v>5</v>
      </c>
      <c r="T20" s="2"/>
      <c r="V20" t="s">
        <v>117</v>
      </c>
      <c r="W20">
        <f>COUNTIFS(
    INDEX(Table1[],,MATCH($V20,Table1[#Headers],0)), W$11,
    Table1[How old are you?], "&lt;&gt;18 - 24 years old"
)</f>
        <v>2</v>
      </c>
      <c r="X20">
        <f>COUNTIFS(
    INDEX(Table1[],,MATCH($V20,Table1[#Headers],0)), X$11,
    Table1[How old are you?], "&lt;&gt;18 - 24 years old"
)</f>
        <v>5</v>
      </c>
      <c r="Y20">
        <f>COUNTIFS(
    INDEX(Table1[],,MATCH($V20,Table1[#Headers],0)), Y$11,
    Table1[How old are you?], "&lt;&gt;18 - 24 years old"
)</f>
        <v>16</v>
      </c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</row>
    <row r="21" spans="1:75" x14ac:dyDescent="0.3">
      <c r="A21" s="1"/>
      <c r="B21" s="2" t="s">
        <v>89</v>
      </c>
      <c r="C21">
        <f>COUNTIFS(
    INDEX(Table1[],,MATCH($B21,Table1[#Headers],0)), C$11,
    Table1[How old are you?], "18 - 24 years old"
)</f>
        <v>2</v>
      </c>
      <c r="D21">
        <f>COUNTIFS(
    INDEX(Table1[],,MATCH($B21,Table1[#Headers],0)), D$11,
    Table1[How old are you?], "18 - 24 years old"
)</f>
        <v>1</v>
      </c>
      <c r="E21">
        <f>COUNTIFS(
    INDEX(Table1[],,MATCH($B21,Table1[#Headers],0)), E$11,
    Table1[How old are you?], "18 - 24 years old"
)</f>
        <v>5</v>
      </c>
      <c r="F21">
        <f>COUNTIFS(
    INDEX(Table1[],,MATCH($B21,Table1[#Headers],0)), F$11,
    Table1[How old are you?], "18 - 24 years old"
)</f>
        <v>19</v>
      </c>
      <c r="G21" s="2"/>
      <c r="H21" s="2"/>
      <c r="I21" s="2" t="s">
        <v>89</v>
      </c>
      <c r="J21" s="2">
        <f>COUNTIFS(
    INDEX(Table1[],,MATCH($B21,Table1[#Headers],0)), C$11,
    Table1[How old are you?], "&lt;&gt;18 - 24 years old"
)</f>
        <v>3</v>
      </c>
      <c r="K21" s="2">
        <f>COUNTIFS(
    INDEX(Table1[],,MATCH($B21,Table1[#Headers],0)), D$11,
    Table1[How old are you?], "&lt;&gt;18 - 24 years old"
)</f>
        <v>4</v>
      </c>
      <c r="L21" s="2">
        <f>COUNTIFS(
    INDEX(Table1[],,MATCH($B21,Table1[#Headers],0)), E$11,
    Table1[How old are you?], "&lt;&gt;18 - 24 years old"
)</f>
        <v>3</v>
      </c>
      <c r="M21" s="2">
        <f>COUNTIFS(
    INDEX(Table1[],,MATCH($B21,Table1[#Headers],0)), F$11,
    Table1[How old are you?], "&lt;&gt;18 - 24 years old"
)</f>
        <v>13</v>
      </c>
      <c r="N21" s="2"/>
      <c r="P21" t="s">
        <v>78</v>
      </c>
      <c r="Q21">
        <f>COUNTIFS(
    INDEX(Table1[],,MATCH($P21,Table1[#Headers],0)), Q$11,
    Table1[How old are you?], "18 - 24 years old"
)</f>
        <v>21</v>
      </c>
      <c r="R21">
        <f>COUNTIFS(
    INDEX(Table1[],,MATCH($P21,Table1[#Headers],0)), R$11,
    Table1[How old are you?], "18 - 24 years old"
)</f>
        <v>6</v>
      </c>
      <c r="S21">
        <f>COUNTIFS(
    INDEX(Table1[],,MATCH($P21,Table1[#Headers],0)), S$11,
    Table1[How old are you?], "18 - 24 years old"
)</f>
        <v>0</v>
      </c>
      <c r="T21" s="2"/>
      <c r="V21" t="s">
        <v>78</v>
      </c>
      <c r="W21">
        <f>COUNTIFS(
    INDEX(Table1[],,MATCH($V21,Table1[#Headers],0)), W$11,
    Table1[How old are you?], "&lt;&gt;18 - 24 years old"
)</f>
        <v>14</v>
      </c>
      <c r="X21">
        <f>COUNTIFS(
    INDEX(Table1[],,MATCH($V21,Table1[#Headers],0)), X$11,
    Table1[How old are you?], "&lt;&gt;18 - 24 years old"
)</f>
        <v>2</v>
      </c>
      <c r="Y21">
        <f>COUNTIFS(
    INDEX(Table1[],,MATCH($V21,Table1[#Headers],0)), Y$11,
    Table1[How old are you?], "&lt;&gt;18 - 24 years old"
)</f>
        <v>7</v>
      </c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</row>
    <row r="22" spans="1:75" x14ac:dyDescent="0.3">
      <c r="A22" s="1"/>
      <c r="B22" s="2" t="s">
        <v>109</v>
      </c>
      <c r="C22">
        <f>COUNTIFS(
    INDEX(Table1[],,MATCH($B22,Table1[#Headers],0)), C$11,
    Table1[How old are you?], "18 - 24 years old"
)</f>
        <v>4</v>
      </c>
      <c r="D22">
        <f>COUNTIFS(
    INDEX(Table1[],,MATCH($B22,Table1[#Headers],0)), D$11,
    Table1[How old are you?], "18 - 24 years old"
)</f>
        <v>19</v>
      </c>
      <c r="E22">
        <f>COUNTIFS(
    INDEX(Table1[],,MATCH($B22,Table1[#Headers],0)), E$11,
    Table1[How old are you?], "18 - 24 years old"
)</f>
        <v>0</v>
      </c>
      <c r="F22">
        <f>COUNTIFS(
    INDEX(Table1[],,MATCH($B22,Table1[#Headers],0)), F$11,
    Table1[How old are you?], "18 - 24 years old"
)</f>
        <v>4</v>
      </c>
      <c r="G22" s="2"/>
      <c r="H22" s="2"/>
      <c r="I22" s="2" t="s">
        <v>109</v>
      </c>
      <c r="J22" s="2">
        <f>COUNTIFS(
    INDEX(Table1[],,MATCH($B22,Table1[#Headers],0)), C$11,
    Table1[How old are you?], "&lt;&gt;18 - 24 years old"
)</f>
        <v>1</v>
      </c>
      <c r="K22" s="2">
        <f>COUNTIFS(
    INDEX(Table1[],,MATCH($B22,Table1[#Headers],0)), D$11,
    Table1[How old are you?], "&lt;&gt;18 - 24 years old"
)</f>
        <v>12</v>
      </c>
      <c r="L22" s="2">
        <f>COUNTIFS(
    INDEX(Table1[],,MATCH($B22,Table1[#Headers],0)), E$11,
    Table1[How old are you?], "&lt;&gt;18 - 24 years old"
)</f>
        <v>8</v>
      </c>
      <c r="M22" s="2">
        <f>COUNTIFS(
    INDEX(Table1[],,MATCH($B22,Table1[#Headers],0)), F$11,
    Table1[How old are you?], "&lt;&gt;18 - 24 years old"
)</f>
        <v>2</v>
      </c>
      <c r="N22" s="2"/>
      <c r="P22" t="s">
        <v>98</v>
      </c>
      <c r="Q22">
        <f>COUNTIFS(
    INDEX(Table1[],,MATCH($P22,Table1[#Headers],0)), Q$11,
    Table1[How old are you?], "18 - 24 years old"
)</f>
        <v>8</v>
      </c>
      <c r="R22">
        <f>COUNTIFS(
    INDEX(Table1[],,MATCH($P22,Table1[#Headers],0)), R$11,
    Table1[How old are you?], "18 - 24 years old"
)</f>
        <v>18</v>
      </c>
      <c r="S22">
        <f>COUNTIFS(
    INDEX(Table1[],,MATCH($P22,Table1[#Headers],0)), S$11,
    Table1[How old are you?], "18 - 24 years old"
)</f>
        <v>1</v>
      </c>
      <c r="T22" s="2"/>
      <c r="V22" t="s">
        <v>98</v>
      </c>
      <c r="W22">
        <f>COUNTIFS(
    INDEX(Table1[],,MATCH($V22,Table1[#Headers],0)), W$11,
    Table1[How old are you?], "&lt;&gt;18 - 24 years old"
)</f>
        <v>5</v>
      </c>
      <c r="X22">
        <f>COUNTIFS(
    INDEX(Table1[],,MATCH($V22,Table1[#Headers],0)), X$11,
    Table1[How old are you?], "&lt;&gt;18 - 24 years old"
)</f>
        <v>17</v>
      </c>
      <c r="Y22">
        <f>COUNTIFS(
    INDEX(Table1[],,MATCH($V22,Table1[#Headers],0)), Y$11,
    Table1[How old are you?], "&lt;&gt;18 - 24 years old"
)</f>
        <v>1</v>
      </c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</row>
    <row r="23" spans="1:75" x14ac:dyDescent="0.3">
      <c r="A23" s="1"/>
      <c r="B23" s="2" t="s">
        <v>129</v>
      </c>
      <c r="C23">
        <f>COUNTIFS(
    INDEX(Table1[],,MATCH($B23,Table1[#Headers],0)), C$11,
    Table1[How old are you?], "18 - 24 years old"
)</f>
        <v>1</v>
      </c>
      <c r="D23">
        <f>COUNTIFS(
    INDEX(Table1[],,MATCH($B23,Table1[#Headers],0)), D$11,
    Table1[How old are you?], "18 - 24 years old"
)</f>
        <v>4</v>
      </c>
      <c r="E23">
        <f>COUNTIFS(
    INDEX(Table1[],,MATCH($B23,Table1[#Headers],0)), E$11,
    Table1[How old are you?], "18 - 24 years old"
)</f>
        <v>19</v>
      </c>
      <c r="F23">
        <f>COUNTIFS(
    INDEX(Table1[],,MATCH($B23,Table1[#Headers],0)), F$11,
    Table1[How old are you?], "18 - 24 years old"
)</f>
        <v>3</v>
      </c>
      <c r="G23" s="2"/>
      <c r="H23" s="2"/>
      <c r="I23" s="2" t="s">
        <v>129</v>
      </c>
      <c r="J23" s="2">
        <f>COUNTIFS(
    INDEX(Table1[],,MATCH($B23,Table1[#Headers],0)), C$11,
    Table1[How old are you?], "&lt;&gt;18 - 24 years old"
)</f>
        <v>3</v>
      </c>
      <c r="K23" s="2">
        <f>COUNTIFS(
    INDEX(Table1[],,MATCH($B23,Table1[#Headers],0)), D$11,
    Table1[How old are you?], "&lt;&gt;18 - 24 years old"
)</f>
        <v>5</v>
      </c>
      <c r="L23" s="2">
        <f>COUNTIFS(
    INDEX(Table1[],,MATCH($B23,Table1[#Headers],0)), E$11,
    Table1[How old are you?], "&lt;&gt;18 - 24 years old"
)</f>
        <v>8</v>
      </c>
      <c r="M23" s="2">
        <f>COUNTIFS(
    INDEX(Table1[],,MATCH($B23,Table1[#Headers],0)), F$11,
    Table1[How old are you?], "&lt;&gt;18 - 24 years old"
)</f>
        <v>7</v>
      </c>
      <c r="N23" s="2"/>
      <c r="P23" t="s">
        <v>118</v>
      </c>
      <c r="Q23">
        <f>COUNTIFS(
    INDEX(Table1[],,MATCH($P23,Table1[#Headers],0)), Q$11,
    Table1[How old are you?], "18 - 24 years old"
)</f>
        <v>3</v>
      </c>
      <c r="R23">
        <f>COUNTIFS(
    INDEX(Table1[],,MATCH($P23,Table1[#Headers],0)), R$11,
    Table1[How old are you?], "18 - 24 years old"
)</f>
        <v>1</v>
      </c>
      <c r="S23">
        <f>COUNTIFS(
    INDEX(Table1[],,MATCH($P23,Table1[#Headers],0)), S$11,
    Table1[How old are you?], "18 - 24 years old"
)</f>
        <v>23</v>
      </c>
      <c r="T23" s="2"/>
      <c r="V23" t="s">
        <v>118</v>
      </c>
      <c r="W23">
        <f>COUNTIFS(
    INDEX(Table1[],,MATCH($V23,Table1[#Headers],0)), W$11,
    Table1[How old are you?], "&lt;&gt;18 - 24 years old"
)</f>
        <v>4</v>
      </c>
      <c r="X23">
        <f>COUNTIFS(
    INDEX(Table1[],,MATCH($V23,Table1[#Headers],0)), X$11,
    Table1[How old are you?], "&lt;&gt;18 - 24 years old"
)</f>
        <v>4</v>
      </c>
      <c r="Y23">
        <f>COUNTIFS(
    INDEX(Table1[],,MATCH($V23,Table1[#Headers],0)), Y$11,
    Table1[How old are you?], "&lt;&gt;18 - 24 years old"
)</f>
        <v>15</v>
      </c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</row>
    <row r="24" spans="1:75" x14ac:dyDescent="0.3">
      <c r="A24" s="1"/>
      <c r="B24" s="2" t="s">
        <v>71</v>
      </c>
      <c r="C24">
        <f>COUNTIFS(
    INDEX(Table1[],,MATCH($B24,Table1[#Headers],0)), C$11,
    Table1[How old are you?], "18 - 24 years old"
)</f>
        <v>14</v>
      </c>
      <c r="D24">
        <f>COUNTIFS(
    INDEX(Table1[],,MATCH($B24,Table1[#Headers],0)), D$11,
    Table1[How old are you?], "18 - 24 years old"
)</f>
        <v>10</v>
      </c>
      <c r="E24">
        <f>COUNTIFS(
    INDEX(Table1[],,MATCH($B24,Table1[#Headers],0)), E$11,
    Table1[How old are you?], "18 - 24 years old"
)</f>
        <v>2</v>
      </c>
      <c r="F24">
        <f>COUNTIFS(
    INDEX(Table1[],,MATCH($B24,Table1[#Headers],0)), F$11,
    Table1[How old are you?], "18 - 24 years old"
)</f>
        <v>1</v>
      </c>
      <c r="G24" s="2"/>
      <c r="H24" s="2"/>
      <c r="I24" s="2" t="s">
        <v>71</v>
      </c>
      <c r="J24" s="2">
        <f>COUNTIFS(
    INDEX(Table1[],,MATCH($B24,Table1[#Headers],0)), C$11,
    Table1[How old are you?], "&lt;&gt;18 - 24 years old"
)</f>
        <v>7</v>
      </c>
      <c r="K24" s="2">
        <f>COUNTIFS(
    INDEX(Table1[],,MATCH($B24,Table1[#Headers],0)), D$11,
    Table1[How old are you?], "&lt;&gt;18 - 24 years old"
)</f>
        <v>6</v>
      </c>
      <c r="L24" s="2">
        <f>COUNTIFS(
    INDEX(Table1[],,MATCH($B24,Table1[#Headers],0)), E$11,
    Table1[How old are you?], "&lt;&gt;18 - 24 years old"
)</f>
        <v>6</v>
      </c>
      <c r="M24" s="2">
        <f>COUNTIFS(
    INDEX(Table1[],,MATCH($B24,Table1[#Headers],0)), F$11,
    Table1[How old are you?], "&lt;&gt;18 - 24 years old"
)</f>
        <v>4</v>
      </c>
      <c r="N24" s="2"/>
      <c r="P24" t="s">
        <v>79</v>
      </c>
      <c r="Q24">
        <f>COUNTIFS(
    INDEX(Table1[],,MATCH($P24,Table1[#Headers],0)), Q$11,
    Table1[How old are you?], "18 - 24 years old"
)</f>
        <v>4</v>
      </c>
      <c r="R24">
        <f>COUNTIFS(
    INDEX(Table1[],,MATCH($P24,Table1[#Headers],0)), R$11,
    Table1[How old are you?], "18 - 24 years old"
)</f>
        <v>5</v>
      </c>
      <c r="S24">
        <f>COUNTIFS(
    INDEX(Table1[],,MATCH($P24,Table1[#Headers],0)), S$11,
    Table1[How old are you?], "18 - 24 years old"
)</f>
        <v>18</v>
      </c>
      <c r="T24" s="2"/>
      <c r="V24" t="s">
        <v>79</v>
      </c>
      <c r="W24">
        <f>COUNTIFS(
    INDEX(Table1[],,MATCH($V24,Table1[#Headers],0)), W$11,
    Table1[How old are you?], "&lt;&gt;18 - 24 years old"
)</f>
        <v>4</v>
      </c>
      <c r="X24">
        <f>COUNTIFS(
    INDEX(Table1[],,MATCH($V24,Table1[#Headers],0)), X$11,
    Table1[How old are you?], "&lt;&gt;18 - 24 years old"
)</f>
        <v>5</v>
      </c>
      <c r="Y24">
        <f>COUNTIFS(
    INDEX(Table1[],,MATCH($V24,Table1[#Headers],0)), Y$11,
    Table1[How old are you?], "&lt;&gt;18 - 24 years old"
)</f>
        <v>14</v>
      </c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</row>
    <row r="25" spans="1:75" x14ac:dyDescent="0.3">
      <c r="A25" s="1"/>
      <c r="B25" s="2" t="s">
        <v>91</v>
      </c>
      <c r="C25">
        <f>COUNTIFS(
    INDEX(Table1[],,MATCH($B25,Table1[#Headers],0)), C$11,
    Table1[How old are you?], "18 - 24 years old"
)</f>
        <v>1</v>
      </c>
      <c r="D25">
        <f>COUNTIFS(
    INDEX(Table1[],,MATCH($B25,Table1[#Headers],0)), D$11,
    Table1[How old are you?], "18 - 24 years old"
)</f>
        <v>2</v>
      </c>
      <c r="E25">
        <f>COUNTIFS(
    INDEX(Table1[],,MATCH($B25,Table1[#Headers],0)), E$11,
    Table1[How old are you?], "18 - 24 years old"
)</f>
        <v>8</v>
      </c>
      <c r="F25">
        <f>COUNTIFS(
    INDEX(Table1[],,MATCH($B25,Table1[#Headers],0)), F$11,
    Table1[How old are you?], "18 - 24 years old"
)</f>
        <v>16</v>
      </c>
      <c r="G25" s="2"/>
      <c r="H25" s="2"/>
      <c r="I25" s="2" t="s">
        <v>91</v>
      </c>
      <c r="J25" s="2">
        <f>COUNTIFS(
    INDEX(Table1[],,MATCH($B25,Table1[#Headers],0)), C$11,
    Table1[How old are you?], "&lt;&gt;18 - 24 years old"
)</f>
        <v>6</v>
      </c>
      <c r="K25" s="2">
        <f>COUNTIFS(
    INDEX(Table1[],,MATCH($B25,Table1[#Headers],0)), D$11,
    Table1[How old are you?], "&lt;&gt;18 - 24 years old"
)</f>
        <v>4</v>
      </c>
      <c r="L25" s="2">
        <f>COUNTIFS(
    INDEX(Table1[],,MATCH($B25,Table1[#Headers],0)), E$11,
    Table1[How old are you?], "&lt;&gt;18 - 24 years old"
)</f>
        <v>3</v>
      </c>
      <c r="M25" s="2">
        <f>COUNTIFS(
    INDEX(Table1[],,MATCH($B25,Table1[#Headers],0)), F$11,
    Table1[How old are you?], "&lt;&gt;18 - 24 years old"
)</f>
        <v>10</v>
      </c>
      <c r="N25" s="2"/>
      <c r="P25" t="s">
        <v>99</v>
      </c>
      <c r="Q25">
        <f>COUNTIFS(
    INDEX(Table1[],,MATCH($P25,Table1[#Headers],0)), Q$11,
    Table1[How old are you?], "18 - 24 years old"
)</f>
        <v>8</v>
      </c>
      <c r="R25">
        <f>COUNTIFS(
    INDEX(Table1[],,MATCH($P25,Table1[#Headers],0)), R$11,
    Table1[How old are you?], "18 - 24 years old"
)</f>
        <v>13</v>
      </c>
      <c r="S25">
        <f>COUNTIFS(
    INDEX(Table1[],,MATCH($P25,Table1[#Headers],0)), S$11,
    Table1[How old are you?], "18 - 24 years old"
)</f>
        <v>6</v>
      </c>
      <c r="T25" s="2"/>
      <c r="V25" t="s">
        <v>99</v>
      </c>
      <c r="W25">
        <f>COUNTIFS(
    INDEX(Table1[],,MATCH($V25,Table1[#Headers],0)), W$11,
    Table1[How old are you?], "&lt;&gt;18 - 24 years old"
)</f>
        <v>5</v>
      </c>
      <c r="X25">
        <f>COUNTIFS(
    INDEX(Table1[],,MATCH($V25,Table1[#Headers],0)), X$11,
    Table1[How old are you?], "&lt;&gt;18 - 24 years old"
)</f>
        <v>12</v>
      </c>
      <c r="Y25">
        <f>COUNTIFS(
    INDEX(Table1[],,MATCH($V25,Table1[#Headers],0)), Y$11,
    Table1[How old are you?], "&lt;&gt;18 - 24 years old"
)</f>
        <v>6</v>
      </c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</row>
    <row r="26" spans="1:75" x14ac:dyDescent="0.3">
      <c r="A26" s="1"/>
      <c r="B26" s="2" t="s">
        <v>111</v>
      </c>
      <c r="C26">
        <f>COUNTIFS(
    INDEX(Table1[],,MATCH($B26,Table1[#Headers],0)), C$11,
    Table1[How old are you?], "18 - 24 years old"
)</f>
        <v>9</v>
      </c>
      <c r="D26">
        <f>COUNTIFS(
    INDEX(Table1[],,MATCH($B26,Table1[#Headers],0)), D$11,
    Table1[How old are you?], "18 - 24 years old"
)</f>
        <v>13</v>
      </c>
      <c r="E26">
        <f>COUNTIFS(
    INDEX(Table1[],,MATCH($B26,Table1[#Headers],0)), E$11,
    Table1[How old are you?], "18 - 24 years old"
)</f>
        <v>4</v>
      </c>
      <c r="F26">
        <f>COUNTIFS(
    INDEX(Table1[],,MATCH($B26,Table1[#Headers],0)), F$11,
    Table1[How old are you?], "18 - 24 years old"
)</f>
        <v>1</v>
      </c>
      <c r="G26" s="2"/>
      <c r="H26" s="2"/>
      <c r="I26" s="2" t="s">
        <v>111</v>
      </c>
      <c r="J26" s="2">
        <f>COUNTIFS(
    INDEX(Table1[],,MATCH($B26,Table1[#Headers],0)), C$11,
    Table1[How old are you?], "&lt;&gt;18 - 24 years old"
)</f>
        <v>8</v>
      </c>
      <c r="K26" s="2">
        <f>COUNTIFS(
    INDEX(Table1[],,MATCH($B26,Table1[#Headers],0)), D$11,
    Table1[How old are you?], "&lt;&gt;18 - 24 years old"
)</f>
        <v>8</v>
      </c>
      <c r="L26" s="2">
        <f>COUNTIFS(
    INDEX(Table1[],,MATCH($B26,Table1[#Headers],0)), E$11,
    Table1[How old are you?], "&lt;&gt;18 - 24 years old"
)</f>
        <v>4</v>
      </c>
      <c r="M26" s="2">
        <f>COUNTIFS(
    INDEX(Table1[],,MATCH($B26,Table1[#Headers],0)), F$11,
    Table1[How old are you?], "&lt;&gt;18 - 24 years old"
)</f>
        <v>3</v>
      </c>
      <c r="N26" s="2"/>
      <c r="P26" t="s">
        <v>119</v>
      </c>
      <c r="Q26">
        <f>COUNTIFS(
    INDEX(Table1[],,MATCH($P26,Table1[#Headers],0)), Q$11,
    Table1[How old are you?], "18 - 24 years old"
)</f>
        <v>13</v>
      </c>
      <c r="R26">
        <f>COUNTIFS(
    INDEX(Table1[],,MATCH($P26,Table1[#Headers],0)), R$11,
    Table1[How old are you?], "18 - 24 years old"
)</f>
        <v>9</v>
      </c>
      <c r="S26">
        <f>COUNTIFS(
    INDEX(Table1[],,MATCH($P26,Table1[#Headers],0)), S$11,
    Table1[How old are you?], "18 - 24 years old"
)</f>
        <v>5</v>
      </c>
      <c r="T26" s="2"/>
      <c r="V26" t="s">
        <v>119</v>
      </c>
      <c r="W26">
        <f>COUNTIFS(
    INDEX(Table1[],,MATCH($V26,Table1[#Headers],0)), W$11,
    Table1[How old are you?], "&lt;&gt;18 - 24 years old"
)</f>
        <v>14</v>
      </c>
      <c r="X26">
        <f>COUNTIFS(
    INDEX(Table1[],,MATCH($V26,Table1[#Headers],0)), X$11,
    Table1[How old are you?], "&lt;&gt;18 - 24 years old"
)</f>
        <v>5</v>
      </c>
      <c r="Y26">
        <f>COUNTIFS(
    INDEX(Table1[],,MATCH($V26,Table1[#Headers],0)), Y$11,
    Table1[How old are you?], "&lt;&gt;18 - 24 years old"
)</f>
        <v>4</v>
      </c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</row>
    <row r="27" spans="1:75" x14ac:dyDescent="0.3">
      <c r="A27" s="1"/>
      <c r="B27" s="2" t="s">
        <v>131</v>
      </c>
      <c r="C27">
        <f>COUNTIFS(
    INDEX(Table1[],,MATCH($B27,Table1[#Headers],0)), C$11,
    Table1[How old are you?], "18 - 24 years old"
)</f>
        <v>1</v>
      </c>
      <c r="D27">
        <f>COUNTIFS(
    INDEX(Table1[],,MATCH($B27,Table1[#Headers],0)), D$11,
    Table1[How old are you?], "18 - 24 years old"
)</f>
        <v>2</v>
      </c>
      <c r="E27">
        <f>COUNTIFS(
    INDEX(Table1[],,MATCH($B27,Table1[#Headers],0)), E$11,
    Table1[How old are you?], "18 - 24 years old"
)</f>
        <v>11</v>
      </c>
      <c r="F27">
        <f>COUNTIFS(
    INDEX(Table1[],,MATCH($B27,Table1[#Headers],0)), F$11,
    Table1[How old are you?], "18 - 24 years old"
)</f>
        <v>13</v>
      </c>
      <c r="G27" s="2"/>
      <c r="H27" s="2"/>
      <c r="I27" s="2" t="s">
        <v>131</v>
      </c>
      <c r="J27" s="2">
        <f>COUNTIFS(
    INDEX(Table1[],,MATCH($B27,Table1[#Headers],0)), C$11,
    Table1[How old are you?], "&lt;&gt;18 - 24 years old"
)</f>
        <v>1</v>
      </c>
      <c r="K27" s="2">
        <f>COUNTIFS(
    INDEX(Table1[],,MATCH($B27,Table1[#Headers],0)), D$11,
    Table1[How old are you?], "&lt;&gt;18 - 24 years old"
)</f>
        <v>3</v>
      </c>
      <c r="L27" s="2">
        <f>COUNTIFS(
    INDEX(Table1[],,MATCH($B27,Table1[#Headers],0)), E$11,
    Table1[How old are you?], "&lt;&gt;18 - 24 years old"
)</f>
        <v>9</v>
      </c>
      <c r="M27" s="2">
        <f>COUNTIFS(
    INDEX(Table1[],,MATCH($B27,Table1[#Headers],0)), F$11,
    Table1[How old are you?], "&lt;&gt;18 - 24 years old"
)</f>
        <v>10</v>
      </c>
      <c r="N27" s="2"/>
      <c r="P27" t="s">
        <v>80</v>
      </c>
      <c r="Q27">
        <f>COUNTIFS(
    INDEX(Table1[],,MATCH($P27,Table1[#Headers],0)), Q$11,
    Table1[How old are you?], "18 - 24 years old"
)</f>
        <v>18</v>
      </c>
      <c r="R27">
        <f>COUNTIFS(
    INDEX(Table1[],,MATCH($P27,Table1[#Headers],0)), R$11,
    Table1[How old are you?], "18 - 24 years old"
)</f>
        <v>4</v>
      </c>
      <c r="S27">
        <f>COUNTIFS(
    INDEX(Table1[],,MATCH($P27,Table1[#Headers],0)), S$11,
    Table1[How old are you?], "18 - 24 years old"
)</f>
        <v>5</v>
      </c>
      <c r="T27" s="2"/>
      <c r="V27" t="s">
        <v>80</v>
      </c>
      <c r="W27">
        <f>COUNTIFS(
    INDEX(Table1[],,MATCH($V27,Table1[#Headers],0)), W$11,
    Table1[How old are you?], "&lt;&gt;18 - 24 years old"
)</f>
        <v>14</v>
      </c>
      <c r="X27">
        <f>COUNTIFS(
    INDEX(Table1[],,MATCH($V27,Table1[#Headers],0)), X$11,
    Table1[How old are you?], "&lt;&gt;18 - 24 years old"
)</f>
        <v>4</v>
      </c>
      <c r="Y27">
        <f>COUNTIFS(
    INDEX(Table1[],,MATCH($V27,Table1[#Headers],0)), Y$11,
    Table1[How old are you?], "&lt;&gt;18 - 24 years old"
)</f>
        <v>5</v>
      </c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</row>
    <row r="28" spans="1:75" x14ac:dyDescent="0.3">
      <c r="A28" s="1"/>
      <c r="B28" s="2" t="s">
        <v>73</v>
      </c>
      <c r="C28">
        <f>COUNTIFS(
    INDEX(Table1[],,MATCH($B28,Table1[#Headers],0)), C$11,
    Table1[How old are you?], "18 - 24 years old"
)</f>
        <v>19</v>
      </c>
      <c r="D28">
        <f>COUNTIFS(
    INDEX(Table1[],,MATCH($B28,Table1[#Headers],0)), D$11,
    Table1[How old are you?], "18 - 24 years old"
)</f>
        <v>4</v>
      </c>
      <c r="E28">
        <f>COUNTIFS(
    INDEX(Table1[],,MATCH($B28,Table1[#Headers],0)), E$11,
    Table1[How old are you?], "18 - 24 years old"
)</f>
        <v>1</v>
      </c>
      <c r="F28">
        <f>COUNTIFS(
    INDEX(Table1[],,MATCH($B28,Table1[#Headers],0)), F$11,
    Table1[How old are you?], "18 - 24 years old"
)</f>
        <v>3</v>
      </c>
      <c r="G28" s="2"/>
      <c r="H28" s="2"/>
      <c r="I28" s="2" t="s">
        <v>73</v>
      </c>
      <c r="J28" s="2">
        <f>COUNTIFS(
    INDEX(Table1[],,MATCH($B28,Table1[#Headers],0)), C$11,
    Table1[How old are you?], "&lt;&gt;18 - 24 years old"
)</f>
        <v>12</v>
      </c>
      <c r="K28" s="2">
        <f>COUNTIFS(
    INDEX(Table1[],,MATCH($B28,Table1[#Headers],0)), D$11,
    Table1[How old are you?], "&lt;&gt;18 - 24 years old"
)</f>
        <v>6</v>
      </c>
      <c r="L28" s="2">
        <f>COUNTIFS(
    INDEX(Table1[],,MATCH($B28,Table1[#Headers],0)), E$11,
    Table1[How old are you?], "&lt;&gt;18 - 24 years old"
)</f>
        <v>3</v>
      </c>
      <c r="M28" s="2">
        <f>COUNTIFS(
    INDEX(Table1[],,MATCH($B28,Table1[#Headers],0)), F$11,
    Table1[How old are you?], "&lt;&gt;18 - 24 years old"
)</f>
        <v>2</v>
      </c>
      <c r="N28" s="2"/>
      <c r="P28" t="s">
        <v>100</v>
      </c>
      <c r="Q28">
        <f>COUNTIFS(
    INDEX(Table1[],,MATCH($P28,Table1[#Headers],0)), Q$11,
    Table1[How old are you?], "18 - 24 years old"
)</f>
        <v>0</v>
      </c>
      <c r="R28">
        <f>COUNTIFS(
    INDEX(Table1[],,MATCH($P28,Table1[#Headers],0)), R$11,
    Table1[How old are you?], "18 - 24 years old"
)</f>
        <v>8</v>
      </c>
      <c r="S28">
        <f>COUNTIFS(
    INDEX(Table1[],,MATCH($P28,Table1[#Headers],0)), S$11,
    Table1[How old are you?], "18 - 24 years old"
)</f>
        <v>19</v>
      </c>
      <c r="T28" s="2"/>
      <c r="V28" t="s">
        <v>100</v>
      </c>
      <c r="W28">
        <f>COUNTIFS(
    INDEX(Table1[],,MATCH($V28,Table1[#Headers],0)), W$11,
    Table1[How old are you?], "&lt;&gt;18 - 24 years old"
)</f>
        <v>3</v>
      </c>
      <c r="X28">
        <f>COUNTIFS(
    INDEX(Table1[],,MATCH($V28,Table1[#Headers],0)), X$11,
    Table1[How old are you?], "&lt;&gt;18 - 24 years old"
)</f>
        <v>11</v>
      </c>
      <c r="Y28">
        <f>COUNTIFS(
    INDEX(Table1[],,MATCH($V28,Table1[#Headers],0)), Y$11,
    Table1[How old are you?], "&lt;&gt;18 - 24 years old"
)</f>
        <v>9</v>
      </c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</row>
    <row r="29" spans="1:75" x14ac:dyDescent="0.3">
      <c r="A29" s="1"/>
      <c r="B29" s="2" t="s">
        <v>93</v>
      </c>
      <c r="C29">
        <f>COUNTIFS(
    INDEX(Table1[],,MATCH($B29,Table1[#Headers],0)), C$11,
    Table1[How old are you?], "18 - 24 years old"
)</f>
        <v>2</v>
      </c>
      <c r="D29">
        <f>COUNTIFS(
    INDEX(Table1[],,MATCH($B29,Table1[#Headers],0)), D$11,
    Table1[How old are you?], "18 - 24 years old"
)</f>
        <v>5</v>
      </c>
      <c r="E29">
        <f>COUNTIFS(
    INDEX(Table1[],,MATCH($B29,Table1[#Headers],0)), E$11,
    Table1[How old are you?], "18 - 24 years old"
)</f>
        <v>8</v>
      </c>
      <c r="F29">
        <f>COUNTIFS(
    INDEX(Table1[],,MATCH($B29,Table1[#Headers],0)), F$11,
    Table1[How old are you?], "18 - 24 years old"
)</f>
        <v>12</v>
      </c>
      <c r="G29" s="2"/>
      <c r="H29" s="2"/>
      <c r="I29" s="2" t="s">
        <v>93</v>
      </c>
      <c r="J29" s="2">
        <f>COUNTIFS(
    INDEX(Table1[],,MATCH($B29,Table1[#Headers],0)), C$11,
    Table1[How old are you?], "&lt;&gt;18 - 24 years old"
)</f>
        <v>5</v>
      </c>
      <c r="K29" s="2">
        <f>COUNTIFS(
    INDEX(Table1[],,MATCH($B29,Table1[#Headers],0)), D$11,
    Table1[How old are you?], "&lt;&gt;18 - 24 years old"
)</f>
        <v>5</v>
      </c>
      <c r="L29" s="2">
        <f>COUNTIFS(
    INDEX(Table1[],,MATCH($B29,Table1[#Headers],0)), E$11,
    Table1[How old are you?], "&lt;&gt;18 - 24 years old"
)</f>
        <v>2</v>
      </c>
      <c r="M29" s="2">
        <f>COUNTIFS(
    INDEX(Table1[],,MATCH($B29,Table1[#Headers],0)), F$11,
    Table1[How old are you?], "&lt;&gt;18 - 24 years old"
)</f>
        <v>11</v>
      </c>
      <c r="N29" s="2"/>
      <c r="P29" t="s">
        <v>120</v>
      </c>
      <c r="Q29">
        <f>COUNTIFS(
    INDEX(Table1[],,MATCH($P29,Table1[#Headers],0)), Q$11,
    Table1[How old are you?], "18 - 24 years old"
)</f>
        <v>7</v>
      </c>
      <c r="R29">
        <f>COUNTIFS(
    INDEX(Table1[],,MATCH($P29,Table1[#Headers],0)), R$11,
    Table1[How old are you?], "18 - 24 years old"
)</f>
        <v>13</v>
      </c>
      <c r="S29">
        <f>COUNTIFS(
    INDEX(Table1[],,MATCH($P29,Table1[#Headers],0)), S$11,
    Table1[How old are you?], "18 - 24 years old"
)</f>
        <v>7</v>
      </c>
      <c r="T29" s="2"/>
      <c r="V29" t="s">
        <v>120</v>
      </c>
      <c r="W29">
        <f>COUNTIFS(
    INDEX(Table1[],,MATCH($V29,Table1[#Headers],0)), W$11,
    Table1[How old are you?], "&lt;&gt;18 - 24 years old"
)</f>
        <v>6</v>
      </c>
      <c r="X29">
        <f>COUNTIFS(
    INDEX(Table1[],,MATCH($V29,Table1[#Headers],0)), X$11,
    Table1[How old are you?], "&lt;&gt;18 - 24 years old"
)</f>
        <v>8</v>
      </c>
      <c r="Y29">
        <f>COUNTIFS(
    INDEX(Table1[],,MATCH($V29,Table1[#Headers],0)), Y$11,
    Table1[How old are you?], "&lt;&gt;18 - 24 years old"
)</f>
        <v>9</v>
      </c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</row>
    <row r="30" spans="1:75" x14ac:dyDescent="0.3">
      <c r="A30" s="1"/>
      <c r="B30" s="2" t="s">
        <v>113</v>
      </c>
      <c r="C30">
        <f>COUNTIFS(
    INDEX(Table1[],,MATCH($B30,Table1[#Headers],0)), C$11,
    Table1[How old are you?], "18 - 24 years old"
)</f>
        <v>2</v>
      </c>
      <c r="D30">
        <f>COUNTIFS(
    INDEX(Table1[],,MATCH($B30,Table1[#Headers],0)), D$11,
    Table1[How old are you?], "18 - 24 years old"
)</f>
        <v>14</v>
      </c>
      <c r="E30">
        <f>COUNTIFS(
    INDEX(Table1[],,MATCH($B30,Table1[#Headers],0)), E$11,
    Table1[How old are you?], "18 - 24 years old"
)</f>
        <v>9</v>
      </c>
      <c r="F30">
        <f>COUNTIFS(
    INDEX(Table1[],,MATCH($B30,Table1[#Headers],0)), F$11,
    Table1[How old are you?], "18 - 24 years old"
)</f>
        <v>2</v>
      </c>
      <c r="G30" s="2"/>
      <c r="H30" s="2"/>
      <c r="I30" s="2" t="s">
        <v>113</v>
      </c>
      <c r="J30" s="2">
        <f>COUNTIFS(
    INDEX(Table1[],,MATCH($B30,Table1[#Headers],0)), C$11,
    Table1[How old are you?], "&lt;&gt;18 - 24 years old"
)</f>
        <v>3</v>
      </c>
      <c r="K30" s="2">
        <f>COUNTIFS(
    INDEX(Table1[],,MATCH($B30,Table1[#Headers],0)), D$11,
    Table1[How old are you?], "&lt;&gt;18 - 24 years old"
)</f>
        <v>4</v>
      </c>
      <c r="L30" s="2">
        <f>COUNTIFS(
    INDEX(Table1[],,MATCH($B30,Table1[#Headers],0)), E$11,
    Table1[How old are you?], "&lt;&gt;18 - 24 years old"
)</f>
        <v>13</v>
      </c>
      <c r="M30" s="2">
        <f>COUNTIFS(
    INDEX(Table1[],,MATCH($B30,Table1[#Headers],0)), F$11,
    Table1[How old are you?], "&lt;&gt;18 - 24 years old"
)</f>
        <v>3</v>
      </c>
      <c r="N30" s="2"/>
      <c r="P30" t="s">
        <v>81</v>
      </c>
      <c r="Q30">
        <f>COUNTIFS(
    INDEX(Table1[],,MATCH($P30,Table1[#Headers],0)), Q$11,
    Table1[How old are you?], "18 - 24 years old"
)</f>
        <v>1</v>
      </c>
      <c r="R30">
        <f>COUNTIFS(
    INDEX(Table1[],,MATCH($P30,Table1[#Headers],0)), R$11,
    Table1[How old are you?], "18 - 24 years old"
)</f>
        <v>10</v>
      </c>
      <c r="S30">
        <f>COUNTIFS(
    INDEX(Table1[],,MATCH($P30,Table1[#Headers],0)), S$11,
    Table1[How old are you?], "18 - 24 years old"
)</f>
        <v>16</v>
      </c>
      <c r="T30" s="2"/>
      <c r="V30" t="s">
        <v>81</v>
      </c>
      <c r="W30">
        <f>COUNTIFS(
    INDEX(Table1[],,MATCH($V30,Table1[#Headers],0)), W$11,
    Table1[How old are you?], "&lt;&gt;18 - 24 years old"
)</f>
        <v>1</v>
      </c>
      <c r="X30">
        <f>COUNTIFS(
    INDEX(Table1[],,MATCH($V30,Table1[#Headers],0)), X$11,
    Table1[How old are you?], "&lt;&gt;18 - 24 years old"
)</f>
        <v>3</v>
      </c>
      <c r="Y30">
        <f>COUNTIFS(
    INDEX(Table1[],,MATCH($V30,Table1[#Headers],0)), Y$11,
    Table1[How old are you?], "&lt;&gt;18 - 24 years old"
)</f>
        <v>19</v>
      </c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</row>
    <row r="31" spans="1:75" x14ac:dyDescent="0.3">
      <c r="A31" s="1"/>
      <c r="B31" s="2" t="s">
        <v>133</v>
      </c>
      <c r="C31">
        <f>COUNTIFS(
    INDEX(Table1[],,MATCH($B31,Table1[#Headers],0)), C$11,
    Table1[How old are you?], "18 - 24 years old"
)</f>
        <v>1</v>
      </c>
      <c r="D31">
        <f>COUNTIFS(
    INDEX(Table1[],,MATCH($B31,Table1[#Headers],0)), D$11,
    Table1[How old are you?], "18 - 24 years old"
)</f>
        <v>9</v>
      </c>
      <c r="E31">
        <f>COUNTIFS(
    INDEX(Table1[],,MATCH($B31,Table1[#Headers],0)), E$11,
    Table1[How old are you?], "18 - 24 years old"
)</f>
        <v>10</v>
      </c>
      <c r="F31">
        <f>COUNTIFS(
    INDEX(Table1[],,MATCH($B31,Table1[#Headers],0)), F$11,
    Table1[How old are you?], "18 - 24 years old"
)</f>
        <v>7</v>
      </c>
      <c r="G31" s="2"/>
      <c r="H31" s="2"/>
      <c r="I31" s="2" t="s">
        <v>133</v>
      </c>
      <c r="J31" s="2">
        <f>COUNTIFS(
    INDEX(Table1[],,MATCH($B31,Table1[#Headers],0)), C$11,
    Table1[How old are you?], "&lt;&gt;18 - 24 years old"
)</f>
        <v>3</v>
      </c>
      <c r="K31" s="2">
        <f>COUNTIFS(
    INDEX(Table1[],,MATCH($B31,Table1[#Headers],0)), D$11,
    Table1[How old are you?], "&lt;&gt;18 - 24 years old"
)</f>
        <v>8</v>
      </c>
      <c r="L31" s="2">
        <f>COUNTIFS(
    INDEX(Table1[],,MATCH($B31,Table1[#Headers],0)), E$11,
    Table1[How old are you?], "&lt;&gt;18 - 24 years old"
)</f>
        <v>5</v>
      </c>
      <c r="M31" s="2">
        <f>COUNTIFS(
    INDEX(Table1[],,MATCH($B31,Table1[#Headers],0)), F$11,
    Table1[How old are you?], "&lt;&gt;18 - 24 years old"
)</f>
        <v>7</v>
      </c>
      <c r="N31" s="2"/>
      <c r="P31" t="s">
        <v>101</v>
      </c>
      <c r="Q31">
        <f>COUNTIFS(
    INDEX(Table1[],,MATCH($P31,Table1[#Headers],0)), Q$11,
    Table1[How old are you?], "18 - 24 years old"
)</f>
        <v>20</v>
      </c>
      <c r="R31">
        <f>COUNTIFS(
    INDEX(Table1[],,MATCH($P31,Table1[#Headers],0)), R$11,
    Table1[How old are you?], "18 - 24 years old"
)</f>
        <v>3</v>
      </c>
      <c r="S31">
        <f>COUNTIFS(
    INDEX(Table1[],,MATCH($P31,Table1[#Headers],0)), S$11,
    Table1[How old are you?], "18 - 24 years old"
)</f>
        <v>4</v>
      </c>
      <c r="T31" s="2"/>
      <c r="V31" t="s">
        <v>101</v>
      </c>
      <c r="W31">
        <f>COUNTIFS(
    INDEX(Table1[],,MATCH($V31,Table1[#Headers],0)), W$11,
    Table1[How old are you?], "&lt;&gt;18 - 24 years old"
)</f>
        <v>10</v>
      </c>
      <c r="X31">
        <f>COUNTIFS(
    INDEX(Table1[],,MATCH($V31,Table1[#Headers],0)), X$11,
    Table1[How old are you?], "&lt;&gt;18 - 24 years old"
)</f>
        <v>13</v>
      </c>
      <c r="Y31">
        <f>COUNTIFS(
    INDEX(Table1[],,MATCH($V31,Table1[#Headers],0)), Y$11,
    Table1[How old are you?], "&lt;&gt;18 - 24 years old"
)</f>
        <v>0</v>
      </c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</row>
    <row r="32" spans="1:75" x14ac:dyDescent="0.3">
      <c r="A32" s="1"/>
      <c r="B32" s="2" t="s">
        <v>66</v>
      </c>
      <c r="C32">
        <f>COUNTIFS(
    INDEX(Table1[],,MATCH($B32,Table1[#Headers],0)), C$11,
    Table1[How old are you?], "18 - 24 years old"
)</f>
        <v>12</v>
      </c>
      <c r="D32">
        <f>COUNTIFS(
    INDEX(Table1[],,MATCH($B32,Table1[#Headers],0)), D$11,
    Table1[How old are you?], "18 - 24 years old"
)</f>
        <v>10</v>
      </c>
      <c r="E32">
        <f>COUNTIFS(
    INDEX(Table1[],,MATCH($B32,Table1[#Headers],0)), E$11,
    Table1[How old are you?], "18 - 24 years old"
)</f>
        <v>0</v>
      </c>
      <c r="F32">
        <f>COUNTIFS(
    INDEX(Table1[],,MATCH($B32,Table1[#Headers],0)), F$11,
    Table1[How old are you?], "18 - 24 years old"
)</f>
        <v>5</v>
      </c>
      <c r="G32" s="2"/>
      <c r="H32" s="2"/>
      <c r="I32" s="2" t="s">
        <v>66</v>
      </c>
      <c r="J32" s="2">
        <f>COUNTIFS(
    INDEX(Table1[],,MATCH($B32,Table1[#Headers],0)), C$11,
    Table1[How old are you?], "&lt;&gt;18 - 24 years old"
)</f>
        <v>11</v>
      </c>
      <c r="K32" s="2">
        <f>COUNTIFS(
    INDEX(Table1[],,MATCH($B32,Table1[#Headers],0)), D$11,
    Table1[How old are you?], "&lt;&gt;18 - 24 years old"
)</f>
        <v>11</v>
      </c>
      <c r="L32" s="2">
        <f>COUNTIFS(
    INDEX(Table1[],,MATCH($B32,Table1[#Headers],0)), E$11,
    Table1[How old are you?], "&lt;&gt;18 - 24 years old"
)</f>
        <v>0</v>
      </c>
      <c r="M32" s="2">
        <f>COUNTIFS(
    INDEX(Table1[],,MATCH($B32,Table1[#Headers],0)), F$11,
    Table1[How old are you?], "&lt;&gt;18 - 24 years old"
)</f>
        <v>1</v>
      </c>
      <c r="N32" s="2"/>
      <c r="P32" t="s">
        <v>121</v>
      </c>
      <c r="Q32">
        <f>COUNTIFS(
    INDEX(Table1[],,MATCH($P32,Table1[#Headers],0)), Q$11,
    Table1[How old are you?], "18 - 24 years old"
)</f>
        <v>6</v>
      </c>
      <c r="R32">
        <f>COUNTIFS(
    INDEX(Table1[],,MATCH($P32,Table1[#Headers],0)), R$11,
    Table1[How old are you?], "18 - 24 years old"
)</f>
        <v>14</v>
      </c>
      <c r="S32">
        <f>COUNTIFS(
    INDEX(Table1[],,MATCH($P32,Table1[#Headers],0)), S$11,
    Table1[How old are you?], "18 - 24 years old"
)</f>
        <v>7</v>
      </c>
      <c r="T32" s="2"/>
      <c r="V32" t="s">
        <v>121</v>
      </c>
      <c r="W32">
        <f>COUNTIFS(
    INDEX(Table1[],,MATCH($V32,Table1[#Headers],0)), W$11,
    Table1[How old are you?], "&lt;&gt;18 - 24 years old"
)</f>
        <v>12</v>
      </c>
      <c r="X32">
        <f>COUNTIFS(
    INDEX(Table1[],,MATCH($V32,Table1[#Headers],0)), X$11,
    Table1[How old are you?], "&lt;&gt;18 - 24 years old"
)</f>
        <v>7</v>
      </c>
      <c r="Y32">
        <f>COUNTIFS(
    INDEX(Table1[],,MATCH($V32,Table1[#Headers],0)), Y$11,
    Table1[How old are you?], "&lt;&gt;18 - 24 years old"
)</f>
        <v>4</v>
      </c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</row>
    <row r="33" spans="1:75" x14ac:dyDescent="0.3">
      <c r="A33" s="1"/>
      <c r="B33" s="2" t="s">
        <v>86</v>
      </c>
      <c r="C33">
        <f>COUNTIFS(
    INDEX(Table1[],,MATCH($B33,Table1[#Headers],0)), C$11,
    Table1[How old are you?], "18 - 24 years old"
)</f>
        <v>1</v>
      </c>
      <c r="D33">
        <f>COUNTIFS(
    INDEX(Table1[],,MATCH($B33,Table1[#Headers],0)), D$11,
    Table1[How old are you?], "18 - 24 years old"
)</f>
        <v>1</v>
      </c>
      <c r="E33">
        <f>COUNTIFS(
    INDEX(Table1[],,MATCH($B33,Table1[#Headers],0)), E$11,
    Table1[How old are you?], "18 - 24 years old"
)</f>
        <v>18</v>
      </c>
      <c r="F33">
        <f>COUNTIFS(
    INDEX(Table1[],,MATCH($B33,Table1[#Headers],0)), F$11,
    Table1[How old are you?], "18 - 24 years old"
)</f>
        <v>7</v>
      </c>
      <c r="G33" s="2"/>
      <c r="H33" s="2"/>
      <c r="I33" s="2" t="s">
        <v>86</v>
      </c>
      <c r="J33" s="2">
        <f>COUNTIFS(
    INDEX(Table1[],,MATCH($B33,Table1[#Headers],0)), C$11,
    Table1[How old are you?], "&lt;&gt;18 - 24 years old"
)</f>
        <v>1</v>
      </c>
      <c r="K33" s="2">
        <f>COUNTIFS(
    INDEX(Table1[],,MATCH($B33,Table1[#Headers],0)), D$11,
    Table1[How old are you?], "&lt;&gt;18 - 24 years old"
)</f>
        <v>3</v>
      </c>
      <c r="L33" s="2">
        <f>COUNTIFS(
    INDEX(Table1[],,MATCH($B33,Table1[#Headers],0)), E$11,
    Table1[How old are you?], "&lt;&gt;18 - 24 years old"
)</f>
        <v>13</v>
      </c>
      <c r="M33" s="2">
        <f>COUNTIFS(
    INDEX(Table1[],,MATCH($B33,Table1[#Headers],0)), F$11,
    Table1[How old are you?], "&lt;&gt;18 - 24 years old"
)</f>
        <v>6</v>
      </c>
      <c r="N33" s="2"/>
      <c r="P33" t="s">
        <v>82</v>
      </c>
      <c r="Q33">
        <f>COUNTIFS(
    INDEX(Table1[],,MATCH($P33,Table1[#Headers],0)), Q$11,
    Table1[How old are you?], "18 - 24 years old"
)</f>
        <v>1</v>
      </c>
      <c r="R33">
        <f>COUNTIFS(
    INDEX(Table1[],,MATCH($P33,Table1[#Headers],0)), R$11,
    Table1[How old are you?], "18 - 24 years old"
)</f>
        <v>6</v>
      </c>
      <c r="S33">
        <f>COUNTIFS(
    INDEX(Table1[],,MATCH($P33,Table1[#Headers],0)), S$11,
    Table1[How old are you?], "18 - 24 years old"
)</f>
        <v>20</v>
      </c>
      <c r="T33" s="2"/>
      <c r="V33" t="s">
        <v>82</v>
      </c>
      <c r="W33">
        <f>COUNTIFS(
    INDEX(Table1[],,MATCH($V33,Table1[#Headers],0)), W$11,
    Table1[How old are you?], "&lt;&gt;18 - 24 years old"
)</f>
        <v>2</v>
      </c>
      <c r="X33">
        <f>COUNTIFS(
    INDEX(Table1[],,MATCH($V33,Table1[#Headers],0)), X$11,
    Table1[How old are you?], "&lt;&gt;18 - 24 years old"
)</f>
        <v>5</v>
      </c>
      <c r="Y33">
        <f>COUNTIFS(
    INDEX(Table1[],,MATCH($V33,Table1[#Headers],0)), Y$11,
    Table1[How old are you?], "&lt;&gt;18 - 24 years old"
)</f>
        <v>16</v>
      </c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</row>
    <row r="34" spans="1:75" x14ac:dyDescent="0.3">
      <c r="A34" s="1"/>
      <c r="B34" s="2" t="s">
        <v>106</v>
      </c>
      <c r="C34">
        <f>COUNTIFS(
    INDEX(Table1[],,MATCH($B34,Table1[#Headers],0)), C$11,
    Table1[How old are you?], "18 - 24 years old"
)</f>
        <v>2</v>
      </c>
      <c r="D34">
        <f>COUNTIFS(
    INDEX(Table1[],,MATCH($B34,Table1[#Headers],0)), D$11,
    Table1[How old are you?], "18 - 24 years old"
)</f>
        <v>4</v>
      </c>
      <c r="E34">
        <f>COUNTIFS(
    INDEX(Table1[],,MATCH($B34,Table1[#Headers],0)), E$11,
    Table1[How old are you?], "18 - 24 years old"
)</f>
        <v>7</v>
      </c>
      <c r="F34">
        <f>COUNTIFS(
    INDEX(Table1[],,MATCH($B34,Table1[#Headers],0)), F$11,
    Table1[How old are you?], "18 - 24 years old"
)</f>
        <v>14</v>
      </c>
      <c r="G34" s="2"/>
      <c r="H34" s="2"/>
      <c r="I34" s="2" t="s">
        <v>106</v>
      </c>
      <c r="J34" s="2">
        <f>COUNTIFS(
    INDEX(Table1[],,MATCH($B34,Table1[#Headers],0)), C$11,
    Table1[How old are you?], "&lt;&gt;18 - 24 years old"
)</f>
        <v>1</v>
      </c>
      <c r="K34" s="2">
        <f>COUNTIFS(
    INDEX(Table1[],,MATCH($B34,Table1[#Headers],0)), D$11,
    Table1[How old are you?], "&lt;&gt;18 - 24 years old"
)</f>
        <v>0</v>
      </c>
      <c r="L34" s="2">
        <f>COUNTIFS(
    INDEX(Table1[],,MATCH($B34,Table1[#Headers],0)), E$11,
    Table1[How old are you?], "&lt;&gt;18 - 24 years old"
)</f>
        <v>8</v>
      </c>
      <c r="M34" s="2">
        <f>COUNTIFS(
    INDEX(Table1[],,MATCH($B34,Table1[#Headers],0)), F$11,
    Table1[How old are you?], "&lt;&gt;18 - 24 years old"
)</f>
        <v>14</v>
      </c>
      <c r="N34" s="2"/>
      <c r="P34" t="s">
        <v>102</v>
      </c>
      <c r="Q34">
        <f>COUNTIFS(
    INDEX(Table1[],,MATCH($P34,Table1[#Headers],0)), Q$11,
    Table1[How old are you?], "18 - 24 years old"
)</f>
        <v>15</v>
      </c>
      <c r="R34">
        <f>COUNTIFS(
    INDEX(Table1[],,MATCH($P34,Table1[#Headers],0)), R$11,
    Table1[How old are you?], "18 - 24 years old"
)</f>
        <v>8</v>
      </c>
      <c r="S34">
        <f>COUNTIFS(
    INDEX(Table1[],,MATCH($P34,Table1[#Headers],0)), S$11,
    Table1[How old are you?], "18 - 24 years old"
)</f>
        <v>4</v>
      </c>
      <c r="T34" s="2"/>
      <c r="V34" t="s">
        <v>102</v>
      </c>
      <c r="W34">
        <f>COUNTIFS(
    INDEX(Table1[],,MATCH($V34,Table1[#Headers],0)), W$11,
    Table1[How old are you?], "&lt;&gt;18 - 24 years old"
)</f>
        <v>19</v>
      </c>
      <c r="X34">
        <f>COUNTIFS(
    INDEX(Table1[],,MATCH($V34,Table1[#Headers],0)), X$11,
    Table1[How old are you?], "&lt;&gt;18 - 24 years old"
)</f>
        <v>4</v>
      </c>
      <c r="Y34">
        <f>COUNTIFS(
    INDEX(Table1[],,MATCH($V34,Table1[#Headers],0)), Y$11,
    Table1[How old are you?], "&lt;&gt;18 - 24 years old"
)</f>
        <v>0</v>
      </c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</row>
    <row r="35" spans="1:75" x14ac:dyDescent="0.3">
      <c r="A35" s="1"/>
      <c r="B35" s="2" t="s">
        <v>126</v>
      </c>
      <c r="C35">
        <f>COUNTIFS(
    INDEX(Table1[],,MATCH($B35,Table1[#Headers],0)), C$11,
    Table1[How old are you?], "18 - 24 years old"
)</f>
        <v>10</v>
      </c>
      <c r="D35">
        <f>COUNTIFS(
    INDEX(Table1[],,MATCH($B35,Table1[#Headers],0)), D$11,
    Table1[How old are you?], "18 - 24 years old"
)</f>
        <v>13</v>
      </c>
      <c r="E35">
        <f>COUNTIFS(
    INDEX(Table1[],,MATCH($B35,Table1[#Headers],0)), E$11,
    Table1[How old are you?], "18 - 24 years old"
)</f>
        <v>4</v>
      </c>
      <c r="F35">
        <f>COUNTIFS(
    INDEX(Table1[],,MATCH($B35,Table1[#Headers],0)), F$11,
    Table1[How old are you?], "18 - 24 years old"
)</f>
        <v>0</v>
      </c>
      <c r="G35" s="2"/>
      <c r="H35" s="2"/>
      <c r="I35" s="2" t="s">
        <v>126</v>
      </c>
      <c r="J35" s="2">
        <f>COUNTIFS(
    INDEX(Table1[],,MATCH($B35,Table1[#Headers],0)), C$11,
    Table1[How old are you?], "&lt;&gt;18 - 24 years old"
)</f>
        <v>10</v>
      </c>
      <c r="K35" s="2">
        <f>COUNTIFS(
    INDEX(Table1[],,MATCH($B35,Table1[#Headers],0)), D$11,
    Table1[How old are you?], "&lt;&gt;18 - 24 years old"
)</f>
        <v>8</v>
      </c>
      <c r="L35" s="2">
        <f>COUNTIFS(
    INDEX(Table1[],,MATCH($B35,Table1[#Headers],0)), E$11,
    Table1[How old are you?], "&lt;&gt;18 - 24 years old"
)</f>
        <v>2</v>
      </c>
      <c r="M35" s="2">
        <f>COUNTIFS(
    INDEX(Table1[],,MATCH($B35,Table1[#Headers],0)), F$11,
    Table1[How old are you?], "&lt;&gt;18 - 24 years old"
)</f>
        <v>3</v>
      </c>
      <c r="N35" s="2"/>
      <c r="P35" t="s">
        <v>122</v>
      </c>
      <c r="Q35">
        <f>COUNTIFS(
    INDEX(Table1[],,MATCH($P35,Table1[#Headers],0)), Q$11,
    Table1[How old are you?], "18 - 24 years old"
)</f>
        <v>9</v>
      </c>
      <c r="R35">
        <f>COUNTIFS(
    INDEX(Table1[],,MATCH($P35,Table1[#Headers],0)), R$11,
    Table1[How old are you?], "18 - 24 years old"
)</f>
        <v>12</v>
      </c>
      <c r="S35">
        <f>COUNTIFS(
    INDEX(Table1[],,MATCH($P35,Table1[#Headers],0)), S$11,
    Table1[How old are you?], "18 - 24 years old"
)</f>
        <v>6</v>
      </c>
      <c r="T35" s="2"/>
      <c r="V35" t="s">
        <v>122</v>
      </c>
      <c r="W35">
        <f>COUNTIFS(
    INDEX(Table1[],,MATCH($V35,Table1[#Headers],0)), W$11,
    Table1[How old are you?], "&lt;&gt;18 - 24 years old"
)</f>
        <v>2</v>
      </c>
      <c r="X35">
        <f>COUNTIFS(
    INDEX(Table1[],,MATCH($V35,Table1[#Headers],0)), X$11,
    Table1[How old are you?], "&lt;&gt;18 - 24 years old"
)</f>
        <v>13</v>
      </c>
      <c r="Y35">
        <f>COUNTIFS(
    INDEX(Table1[],,MATCH($V35,Table1[#Headers],0)), Y$11,
    Table1[How old are you?], "&lt;&gt;18 - 24 years old"
)</f>
        <v>8</v>
      </c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</row>
    <row r="36" spans="1:75" x14ac:dyDescent="0.3">
      <c r="A36" s="1"/>
      <c r="B36" s="2" t="s">
        <v>68</v>
      </c>
      <c r="C36">
        <f>COUNTIFS(
    INDEX(Table1[],,MATCH($B36,Table1[#Headers],0)), C$11,
    Table1[How old are you?], "18 - 24 years old"
)</f>
        <v>23</v>
      </c>
      <c r="D36">
        <f>COUNTIFS(
    INDEX(Table1[],,MATCH($B36,Table1[#Headers],0)), D$11,
    Table1[How old are you?], "18 - 24 years old"
)</f>
        <v>2</v>
      </c>
      <c r="E36">
        <f>COUNTIFS(
    INDEX(Table1[],,MATCH($B36,Table1[#Headers],0)), E$11,
    Table1[How old are you?], "18 - 24 years old"
)</f>
        <v>1</v>
      </c>
      <c r="F36">
        <f>COUNTIFS(
    INDEX(Table1[],,MATCH($B36,Table1[#Headers],0)), F$11,
    Table1[How old are you?], "18 - 24 years old"
)</f>
        <v>1</v>
      </c>
      <c r="G36" s="2"/>
      <c r="H36" s="2"/>
      <c r="I36" s="2" t="s">
        <v>68</v>
      </c>
      <c r="J36" s="2">
        <f>COUNTIFS(
    INDEX(Table1[],,MATCH($B36,Table1[#Headers],0)), C$11,
    Table1[How old are you?], "&lt;&gt;18 - 24 years old"
)</f>
        <v>15</v>
      </c>
      <c r="K36" s="2">
        <f>COUNTIFS(
    INDEX(Table1[],,MATCH($B36,Table1[#Headers],0)), D$11,
    Table1[How old are you?], "&lt;&gt;18 - 24 years old"
)</f>
        <v>0</v>
      </c>
      <c r="L36" s="2">
        <f>COUNTIFS(
    INDEX(Table1[],,MATCH($B36,Table1[#Headers],0)), E$11,
    Table1[How old are you?], "&lt;&gt;18 - 24 years old"
)</f>
        <v>6</v>
      </c>
      <c r="M36" s="2">
        <f>COUNTIFS(
    INDEX(Table1[],,MATCH($B36,Table1[#Headers],0)), F$11,
    Table1[How old are you?], "&lt;&gt;18 - 24 years old"
)</f>
        <v>2</v>
      </c>
      <c r="N36" s="2"/>
      <c r="P36" t="s">
        <v>83</v>
      </c>
      <c r="Q36">
        <f>COUNTIFS(
    INDEX(Table1[],,MATCH($P36,Table1[#Headers],0)), Q$11,
    Table1[How old are you?], "18 - 24 years old"
)</f>
        <v>17</v>
      </c>
      <c r="R36">
        <f>COUNTIFS(
    INDEX(Table1[],,MATCH($P36,Table1[#Headers],0)), R$11,
    Table1[How old are you?], "18 - 24 years old"
)</f>
        <v>7</v>
      </c>
      <c r="S36">
        <f>COUNTIFS(
    INDEX(Table1[],,MATCH($P36,Table1[#Headers],0)), S$11,
    Table1[How old are you?], "18 - 24 years old"
)</f>
        <v>3</v>
      </c>
      <c r="T36" s="2"/>
      <c r="V36" t="s">
        <v>83</v>
      </c>
      <c r="W36">
        <f>COUNTIFS(
    INDEX(Table1[],,MATCH($V36,Table1[#Headers],0)), W$11,
    Table1[How old are you?], "&lt;&gt;18 - 24 years old"
)</f>
        <v>14</v>
      </c>
      <c r="X36">
        <f>COUNTIFS(
    INDEX(Table1[],,MATCH($V36,Table1[#Headers],0)), X$11,
    Table1[How old are you?], "&lt;&gt;18 - 24 years old"
)</f>
        <v>2</v>
      </c>
      <c r="Y36">
        <f>COUNTIFS(
    INDEX(Table1[],,MATCH($V36,Table1[#Headers],0)), Y$11,
    Table1[How old are you?], "&lt;&gt;18 - 24 years old"
)</f>
        <v>7</v>
      </c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</row>
    <row r="37" spans="1:75" x14ac:dyDescent="0.3">
      <c r="A37" s="1"/>
      <c r="B37" s="2" t="s">
        <v>88</v>
      </c>
      <c r="C37">
        <f>COUNTIFS(
    INDEX(Table1[],,MATCH($B37,Table1[#Headers],0)), C$11,
    Table1[How old are you?], "18 - 24 years old"
)</f>
        <v>0</v>
      </c>
      <c r="D37">
        <f>COUNTIFS(
    INDEX(Table1[],,MATCH($B37,Table1[#Headers],0)), D$11,
    Table1[How old are you?], "18 - 24 years old"
)</f>
        <v>3</v>
      </c>
      <c r="E37">
        <f>COUNTIFS(
    INDEX(Table1[],,MATCH($B37,Table1[#Headers],0)), E$11,
    Table1[How old are you?], "18 - 24 years old"
)</f>
        <v>6</v>
      </c>
      <c r="F37">
        <f>COUNTIFS(
    INDEX(Table1[],,MATCH($B37,Table1[#Headers],0)), F$11,
    Table1[How old are you?], "18 - 24 years old"
)</f>
        <v>18</v>
      </c>
      <c r="G37" s="2"/>
      <c r="H37" s="2"/>
      <c r="I37" s="2" t="s">
        <v>88</v>
      </c>
      <c r="J37" s="2">
        <f>COUNTIFS(
    INDEX(Table1[],,MATCH($B37,Table1[#Headers],0)), C$11,
    Table1[How old are you?], "&lt;&gt;18 - 24 years old"
)</f>
        <v>4</v>
      </c>
      <c r="K37" s="2">
        <f>COUNTIFS(
    INDEX(Table1[],,MATCH($B37,Table1[#Headers],0)), D$11,
    Table1[How old are you?], "&lt;&gt;18 - 24 years old"
)</f>
        <v>4</v>
      </c>
      <c r="L37" s="2">
        <f>COUNTIFS(
    INDEX(Table1[],,MATCH($B37,Table1[#Headers],0)), E$11,
    Table1[How old are you?], "&lt;&gt;18 - 24 years old"
)</f>
        <v>6</v>
      </c>
      <c r="M37" s="2">
        <f>COUNTIFS(
    INDEX(Table1[],,MATCH($B37,Table1[#Headers],0)), F$11,
    Table1[How old are you?], "&lt;&gt;18 - 24 years old"
)</f>
        <v>9</v>
      </c>
      <c r="N37" s="2"/>
      <c r="P37" t="s">
        <v>103</v>
      </c>
      <c r="Q37">
        <f>COUNTIFS(
    INDEX(Table1[],,MATCH($P37,Table1[#Headers],0)), Q$11,
    Table1[How old are you?], "18 - 24 years old"
)</f>
        <v>7</v>
      </c>
      <c r="R37">
        <f>COUNTIFS(
    INDEX(Table1[],,MATCH($P37,Table1[#Headers],0)), R$11,
    Table1[How old are you?], "18 - 24 years old"
)</f>
        <v>15</v>
      </c>
      <c r="S37">
        <f>COUNTIFS(
    INDEX(Table1[],,MATCH($P37,Table1[#Headers],0)), S$11,
    Table1[How old are you?], "18 - 24 years old"
)</f>
        <v>5</v>
      </c>
      <c r="T37" s="2"/>
      <c r="V37" t="s">
        <v>103</v>
      </c>
      <c r="W37">
        <f>COUNTIFS(
    INDEX(Table1[],,MATCH($V37,Table1[#Headers],0)), W$11,
    Table1[How old are you?], "&lt;&gt;18 - 24 years old"
)</f>
        <v>7</v>
      </c>
      <c r="X37">
        <f>COUNTIFS(
    INDEX(Table1[],,MATCH($V37,Table1[#Headers],0)), X$11,
    Table1[How old are you?], "&lt;&gt;18 - 24 years old"
)</f>
        <v>11</v>
      </c>
      <c r="Y37">
        <f>COUNTIFS(
    INDEX(Table1[],,MATCH($V37,Table1[#Headers],0)), Y$11,
    Table1[How old are you?], "&lt;&gt;18 - 24 years old"
)</f>
        <v>5</v>
      </c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</row>
    <row r="38" spans="1:75" x14ac:dyDescent="0.3">
      <c r="A38" s="1"/>
      <c r="B38" s="2" t="s">
        <v>108</v>
      </c>
      <c r="C38">
        <f>COUNTIFS(
    INDEX(Table1[],,MATCH($B38,Table1[#Headers],0)), C$11,
    Table1[How old are you?], "18 - 24 years old"
)</f>
        <v>0</v>
      </c>
      <c r="D38">
        <f>COUNTIFS(
    INDEX(Table1[],,MATCH($B38,Table1[#Headers],0)), D$11,
    Table1[How old are you?], "18 - 24 years old"
)</f>
        <v>18</v>
      </c>
      <c r="E38">
        <f>COUNTIFS(
    INDEX(Table1[],,MATCH($B38,Table1[#Headers],0)), E$11,
    Table1[How old are you?], "18 - 24 years old"
)</f>
        <v>4</v>
      </c>
      <c r="F38">
        <f>COUNTIFS(
    INDEX(Table1[],,MATCH($B38,Table1[#Headers],0)), F$11,
    Table1[How old are you?], "18 - 24 years old"
)</f>
        <v>5</v>
      </c>
      <c r="G38" s="2"/>
      <c r="H38" s="2"/>
      <c r="I38" s="2" t="s">
        <v>108</v>
      </c>
      <c r="J38" s="2">
        <f>COUNTIFS(
    INDEX(Table1[],,MATCH($B38,Table1[#Headers],0)), C$11,
    Table1[How old are you?], "&lt;&gt;18 - 24 years old"
)</f>
        <v>1</v>
      </c>
      <c r="K38" s="2">
        <f>COUNTIFS(
    INDEX(Table1[],,MATCH($B38,Table1[#Headers],0)), D$11,
    Table1[How old are you?], "&lt;&gt;18 - 24 years old"
)</f>
        <v>11</v>
      </c>
      <c r="L38" s="2">
        <f>COUNTIFS(
    INDEX(Table1[],,MATCH($B38,Table1[#Headers],0)), E$11,
    Table1[How old are you?], "&lt;&gt;18 - 24 years old"
)</f>
        <v>6</v>
      </c>
      <c r="M38" s="2">
        <f>COUNTIFS(
    INDEX(Table1[],,MATCH($B38,Table1[#Headers],0)), F$11,
    Table1[How old are you?], "&lt;&gt;18 - 24 years old"
)</f>
        <v>5</v>
      </c>
      <c r="N38" s="2"/>
      <c r="P38" t="s">
        <v>123</v>
      </c>
      <c r="Q38">
        <f>COUNTIFS(
    INDEX(Table1[],,MATCH($P38,Table1[#Headers],0)), Q$11,
    Table1[How old are you?], "18 - 24 years old"
)</f>
        <v>2</v>
      </c>
      <c r="R38">
        <f>COUNTIFS(
    INDEX(Table1[],,MATCH($P38,Table1[#Headers],0)), R$11,
    Table1[How old are you?], "18 - 24 years old"
)</f>
        <v>4</v>
      </c>
      <c r="S38">
        <f>COUNTIFS(
    INDEX(Table1[],,MATCH($P38,Table1[#Headers],0)), S$11,
    Table1[How old are you?], "18 - 24 years old"
)</f>
        <v>21</v>
      </c>
      <c r="T38" s="2"/>
      <c r="V38" t="s">
        <v>123</v>
      </c>
      <c r="W38">
        <f>COUNTIFS(
    INDEX(Table1[],,MATCH($V38,Table1[#Headers],0)), W$11,
    Table1[How old are you?], "&lt;&gt;18 - 24 years old"
)</f>
        <v>2</v>
      </c>
      <c r="X38">
        <f>COUNTIFS(
    INDEX(Table1[],,MATCH($V38,Table1[#Headers],0)), X$11,
    Table1[How old are you?], "&lt;&gt;18 - 24 years old"
)</f>
        <v>10</v>
      </c>
      <c r="Y38">
        <f>COUNTIFS(
    INDEX(Table1[],,MATCH($V38,Table1[#Headers],0)), Y$11,
    Table1[How old are you?], "&lt;&gt;18 - 24 years old"
)</f>
        <v>11</v>
      </c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</row>
    <row r="39" spans="1:75" x14ac:dyDescent="0.3">
      <c r="A39" s="1"/>
      <c r="B39" s="2" t="s">
        <v>128</v>
      </c>
      <c r="C39">
        <f>COUNTIFS(
    INDEX(Table1[],,MATCH($B39,Table1[#Headers],0)), C$11,
    Table1[How old are you?], "18 - 24 years old"
)</f>
        <v>2</v>
      </c>
      <c r="D39">
        <f>COUNTIFS(
    INDEX(Table1[],,MATCH($B39,Table1[#Headers],0)), D$11,
    Table1[How old are you?], "18 - 24 years old"
)</f>
        <v>4</v>
      </c>
      <c r="E39">
        <f>COUNTIFS(
    INDEX(Table1[],,MATCH($B39,Table1[#Headers],0)), E$11,
    Table1[How old are you?], "18 - 24 years old"
)</f>
        <v>16</v>
      </c>
      <c r="F39">
        <f>COUNTIFS(
    INDEX(Table1[],,MATCH($B39,Table1[#Headers],0)), F$11,
    Table1[How old are you?], "18 - 24 years old"
)</f>
        <v>5</v>
      </c>
      <c r="G39" s="2"/>
      <c r="H39" s="2"/>
      <c r="I39" s="2" t="s">
        <v>128</v>
      </c>
      <c r="J39" s="2">
        <f>COUNTIFS(
    INDEX(Table1[],,MATCH($B39,Table1[#Headers],0)), C$11,
    Table1[How old are you?], "&lt;&gt;18 - 24 years old"
)</f>
        <v>3</v>
      </c>
      <c r="K39" s="2">
        <f>COUNTIFS(
    INDEX(Table1[],,MATCH($B39,Table1[#Headers],0)), D$11,
    Table1[How old are you?], "&lt;&gt;18 - 24 years old"
)</f>
        <v>7</v>
      </c>
      <c r="L39" s="2">
        <f>COUNTIFS(
    INDEX(Table1[],,MATCH($B39,Table1[#Headers],0)), E$11,
    Table1[How old are you?], "&lt;&gt;18 - 24 years old"
)</f>
        <v>5</v>
      </c>
      <c r="M39" s="2">
        <f>COUNTIFS(
    INDEX(Table1[],,MATCH($B39,Table1[#Headers],0)), F$11,
    Table1[How old are you?], "&lt;&gt;18 - 24 years old"
)</f>
        <v>8</v>
      </c>
      <c r="N39" s="2"/>
      <c r="P39" t="s">
        <v>84</v>
      </c>
      <c r="Q39">
        <f>COUNTIFS(
    INDEX(Table1[],,MATCH($P39,Table1[#Headers],0)), Q$11,
    Table1[How old are you?], "18 - 24 years old"
)</f>
        <v>14</v>
      </c>
      <c r="R39">
        <f>COUNTIFS(
    INDEX(Table1[],,MATCH($P39,Table1[#Headers],0)), R$11,
    Table1[How old are you?], "18 - 24 years old"
)</f>
        <v>9</v>
      </c>
      <c r="S39">
        <f>COUNTIFS(
    INDEX(Table1[],,MATCH($P39,Table1[#Headers],0)), S$11,
    Table1[How old are you?], "18 - 24 years old"
)</f>
        <v>4</v>
      </c>
      <c r="T39" s="2"/>
      <c r="V39" t="s">
        <v>84</v>
      </c>
      <c r="W39">
        <f>COUNTIFS(
    INDEX(Table1[],,MATCH($V39,Table1[#Headers],0)), W$11,
    Table1[How old are you?], "&lt;&gt;18 - 24 years old"
)</f>
        <v>10</v>
      </c>
      <c r="X39">
        <f>COUNTIFS(
    INDEX(Table1[],,MATCH($V39,Table1[#Headers],0)), X$11,
    Table1[How old are you?], "&lt;&gt;18 - 24 years old"
)</f>
        <v>11</v>
      </c>
      <c r="Y39">
        <f>COUNTIFS(
    INDEX(Table1[],,MATCH($V39,Table1[#Headers],0)), Y$11,
    Table1[How old are you?], "&lt;&gt;18 - 24 years old"
)</f>
        <v>2</v>
      </c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</row>
    <row r="40" spans="1:75" x14ac:dyDescent="0.3">
      <c r="A40" s="1"/>
      <c r="B40" s="2" t="s">
        <v>70</v>
      </c>
      <c r="C40">
        <f>COUNTIFS(
    INDEX(Table1[],,MATCH($B40,Table1[#Headers],0)), C$11,
    Table1[How old are you?], "18 - 24 years old"
)</f>
        <v>8</v>
      </c>
      <c r="D40">
        <f>COUNTIFS(
    INDEX(Table1[],,MATCH($B40,Table1[#Headers],0)), D$11,
    Table1[How old are you?], "18 - 24 years old"
)</f>
        <v>2</v>
      </c>
      <c r="E40">
        <f>COUNTIFS(
    INDEX(Table1[],,MATCH($B40,Table1[#Headers],0)), E$11,
    Table1[How old are you?], "18 - 24 years old"
)</f>
        <v>14</v>
      </c>
      <c r="F40">
        <f>COUNTIFS(
    INDEX(Table1[],,MATCH($B40,Table1[#Headers],0)), F$11,
    Table1[How old are you?], "18 - 24 years old"
)</f>
        <v>3</v>
      </c>
      <c r="G40" s="2"/>
      <c r="H40" s="2"/>
      <c r="I40" s="2" t="s">
        <v>70</v>
      </c>
      <c r="J40" s="2">
        <f>COUNTIFS(
    INDEX(Table1[],,MATCH($B40,Table1[#Headers],0)), C$11,
    Table1[How old are you?], "&lt;&gt;18 - 24 years old"
)</f>
        <v>11</v>
      </c>
      <c r="K40" s="2">
        <f>COUNTIFS(
    INDEX(Table1[],,MATCH($B40,Table1[#Headers],0)), D$11,
    Table1[How old are you?], "&lt;&gt;18 - 24 years old"
)</f>
        <v>6</v>
      </c>
      <c r="L40" s="2">
        <f>COUNTIFS(
    INDEX(Table1[],,MATCH($B40,Table1[#Headers],0)), E$11,
    Table1[How old are you?], "&lt;&gt;18 - 24 years old"
)</f>
        <v>6</v>
      </c>
      <c r="M40" s="2">
        <f>COUNTIFS(
    INDEX(Table1[],,MATCH($B40,Table1[#Headers],0)), F$11,
    Table1[How old are you?], "&lt;&gt;18 - 24 years old"
)</f>
        <v>0</v>
      </c>
      <c r="N40" s="2"/>
      <c r="P40" t="s">
        <v>104</v>
      </c>
      <c r="Q40">
        <f>COUNTIFS(
    INDEX(Table1[],,MATCH($P40,Table1[#Headers],0)), Q$11,
    Table1[How old are you?], "18 - 24 years old"
)</f>
        <v>10</v>
      </c>
      <c r="R40">
        <f>COUNTIFS(
    INDEX(Table1[],,MATCH($P40,Table1[#Headers],0)), R$11,
    Table1[How old are you?], "18 - 24 years old"
)</f>
        <v>14</v>
      </c>
      <c r="S40">
        <f>COUNTIFS(
    INDEX(Table1[],,MATCH($P40,Table1[#Headers],0)), S$11,
    Table1[How old are you?], "18 - 24 years old"
)</f>
        <v>3</v>
      </c>
      <c r="T40" s="2"/>
      <c r="V40" t="s">
        <v>104</v>
      </c>
      <c r="W40">
        <f>COUNTIFS(
    INDEX(Table1[],,MATCH($V40,Table1[#Headers],0)), W$11,
    Table1[How old are you?], "&lt;&gt;18 - 24 years old"
)</f>
        <v>11</v>
      </c>
      <c r="X40">
        <f>COUNTIFS(
    INDEX(Table1[],,MATCH($V40,Table1[#Headers],0)), X$11,
    Table1[How old are you?], "&lt;&gt;18 - 24 years old"
)</f>
        <v>10</v>
      </c>
      <c r="Y40">
        <f>COUNTIFS(
    INDEX(Table1[],,MATCH($V40,Table1[#Headers],0)), Y$11,
    Table1[How old are you?], "&lt;&gt;18 - 24 years old"
)</f>
        <v>2</v>
      </c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</row>
    <row r="41" spans="1:75" x14ac:dyDescent="0.3">
      <c r="A41" s="1"/>
      <c r="B41" s="2" t="s">
        <v>90</v>
      </c>
      <c r="C41">
        <f>COUNTIFS(
    INDEX(Table1[],,MATCH($B41,Table1[#Headers],0)), C$11,
    Table1[How old are you?], "18 - 24 years old"
)</f>
        <v>3</v>
      </c>
      <c r="D41">
        <f>COUNTIFS(
    INDEX(Table1[],,MATCH($B41,Table1[#Headers],0)), D$11,
    Table1[How old are you?], "18 - 24 years old"
)</f>
        <v>19</v>
      </c>
      <c r="E41">
        <f>COUNTIFS(
    INDEX(Table1[],,MATCH($B41,Table1[#Headers],0)), E$11,
    Table1[How old are you?], "18 - 24 years old"
)</f>
        <v>3</v>
      </c>
      <c r="F41">
        <f>COUNTIFS(
    INDEX(Table1[],,MATCH($B41,Table1[#Headers],0)), F$11,
    Table1[How old are you?], "18 - 24 years old"
)</f>
        <v>2</v>
      </c>
      <c r="G41" s="2"/>
      <c r="H41" s="2"/>
      <c r="I41" s="2" t="s">
        <v>90</v>
      </c>
      <c r="J41" s="2">
        <f>COUNTIFS(
    INDEX(Table1[],,MATCH($B41,Table1[#Headers],0)), C$11,
    Table1[How old are you?], "&lt;&gt;18 - 24 years old"
)</f>
        <v>3</v>
      </c>
      <c r="K41" s="2">
        <f>COUNTIFS(
    INDEX(Table1[],,MATCH($B41,Table1[#Headers],0)), D$11,
    Table1[How old are you?], "&lt;&gt;18 - 24 years old"
)</f>
        <v>7</v>
      </c>
      <c r="L41" s="2">
        <f>COUNTIFS(
    INDEX(Table1[],,MATCH($B41,Table1[#Headers],0)), E$11,
    Table1[How old are you?], "&lt;&gt;18 - 24 years old"
)</f>
        <v>9</v>
      </c>
      <c r="M41" s="2">
        <f>COUNTIFS(
    INDEX(Table1[],,MATCH($B41,Table1[#Headers],0)), F$11,
    Table1[How old are you?], "&lt;&gt;18 - 24 years old"
)</f>
        <v>4</v>
      </c>
      <c r="N41" s="2"/>
      <c r="P41" t="s">
        <v>124</v>
      </c>
      <c r="Q41">
        <f>COUNTIFS(
    INDEX(Table1[],,MATCH($P41,Table1[#Headers],0)), Q$11,
    Table1[How old are you?], "18 - 24 years old"
)</f>
        <v>6</v>
      </c>
      <c r="R41">
        <f>COUNTIFS(
    INDEX(Table1[],,MATCH($P41,Table1[#Headers],0)), R$11,
    Table1[How old are you?], "18 - 24 years old"
)</f>
        <v>3</v>
      </c>
      <c r="S41">
        <f>COUNTIFS(
    INDEX(Table1[],,MATCH($P41,Table1[#Headers],0)), S$11,
    Table1[How old are you?], "18 - 24 years old"
)</f>
        <v>18</v>
      </c>
      <c r="T41" s="2"/>
      <c r="V41" t="s">
        <v>124</v>
      </c>
      <c r="W41">
        <f>COUNTIFS(
    INDEX(Table1[],,MATCH($V41,Table1[#Headers],0)), W$11,
    Table1[How old are you?], "&lt;&gt;18 - 24 years old"
)</f>
        <v>2</v>
      </c>
      <c r="X41">
        <f>COUNTIFS(
    INDEX(Table1[],,MATCH($V41,Table1[#Headers],0)), X$11,
    Table1[How old are you?], "&lt;&gt;18 - 24 years old"
)</f>
        <v>2</v>
      </c>
      <c r="Y41">
        <f>COUNTIFS(
    INDEX(Table1[],,MATCH($V41,Table1[#Headers],0)), Y$11,
    Table1[How old are you?], "&lt;&gt;18 - 24 years old"
)</f>
        <v>19</v>
      </c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</row>
    <row r="42" spans="1:75" x14ac:dyDescent="0.3">
      <c r="A42" s="1"/>
      <c r="B42" s="2" t="s">
        <v>110</v>
      </c>
      <c r="C42">
        <f>COUNTIFS(
    INDEX(Table1[],,MATCH($B42,Table1[#Headers],0)), C$11,
    Table1[How old are you?], "18 - 24 years old"
)</f>
        <v>2</v>
      </c>
      <c r="D42">
        <f>COUNTIFS(
    INDEX(Table1[],,MATCH($B42,Table1[#Headers],0)), D$11,
    Table1[How old are you?], "18 - 24 years old"
)</f>
        <v>3</v>
      </c>
      <c r="E42">
        <f>COUNTIFS(
    INDEX(Table1[],,MATCH($B42,Table1[#Headers],0)), E$11,
    Table1[How old are you?], "18 - 24 years old"
)</f>
        <v>5</v>
      </c>
      <c r="F42">
        <f>COUNTIFS(
    INDEX(Table1[],,MATCH($B42,Table1[#Headers],0)), F$11,
    Table1[How old are you?], "18 - 24 years old"
)</f>
        <v>17</v>
      </c>
      <c r="G42" s="2"/>
      <c r="H42" s="2"/>
      <c r="I42" s="2" t="s">
        <v>110</v>
      </c>
      <c r="J42" s="2">
        <f>COUNTIFS(
    INDEX(Table1[],,MATCH($B42,Table1[#Headers],0)), C$11,
    Table1[How old are you?], "&lt;&gt;18 - 24 years old"
)</f>
        <v>5</v>
      </c>
      <c r="K42" s="2">
        <f>COUNTIFS(
    INDEX(Table1[],,MATCH($B42,Table1[#Headers],0)), D$11,
    Table1[How old are you?], "&lt;&gt;18 - 24 years old"
)</f>
        <v>5</v>
      </c>
      <c r="L42" s="2">
        <f>COUNTIFS(
    INDEX(Table1[],,MATCH($B42,Table1[#Headers],0)), E$11,
    Table1[How old are you?], "&lt;&gt;18 - 24 years old"
)</f>
        <v>3</v>
      </c>
      <c r="M42" s="2">
        <f>COUNTIFS(
    INDEX(Table1[],,MATCH($B42,Table1[#Headers],0)), F$11,
    Table1[How old are you?], "&lt;&gt;18 - 24 years old"
)</f>
        <v>10</v>
      </c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</row>
    <row r="43" spans="1:75" x14ac:dyDescent="0.3">
      <c r="A43" s="1"/>
      <c r="B43" s="2" t="s">
        <v>130</v>
      </c>
      <c r="C43">
        <f>COUNTIFS(
    INDEX(Table1[],,MATCH($B43,Table1[#Headers],0)), C$11,
    Table1[How old are you?], "18 - 24 years old"
)</f>
        <v>12</v>
      </c>
      <c r="D43">
        <f>COUNTIFS(
    INDEX(Table1[],,MATCH($B43,Table1[#Headers],0)), D$11,
    Table1[How old are you?], "18 - 24 years old"
)</f>
        <v>4</v>
      </c>
      <c r="E43">
        <f>COUNTIFS(
    INDEX(Table1[],,MATCH($B43,Table1[#Headers],0)), E$11,
    Table1[How old are you?], "18 - 24 years old"
)</f>
        <v>8</v>
      </c>
      <c r="F43">
        <f>COUNTIFS(
    INDEX(Table1[],,MATCH($B43,Table1[#Headers],0)), F$11,
    Table1[How old are you?], "18 - 24 years old"
)</f>
        <v>3</v>
      </c>
      <c r="G43" s="2"/>
      <c r="H43" s="2"/>
      <c r="I43" s="2" t="s">
        <v>130</v>
      </c>
      <c r="J43" s="2">
        <f>COUNTIFS(
    INDEX(Table1[],,MATCH($B43,Table1[#Headers],0)), C$11,
    Table1[How old are you?], "&lt;&gt;18 - 24 years old"
)</f>
        <v>4</v>
      </c>
      <c r="K43" s="2">
        <f>COUNTIFS(
    INDEX(Table1[],,MATCH($B43,Table1[#Headers],0)), D$11,
    Table1[How old are you?], "&lt;&gt;18 - 24 years old"
)</f>
        <v>4</v>
      </c>
      <c r="L43" s="2">
        <f>COUNTIFS(
    INDEX(Table1[],,MATCH($B43,Table1[#Headers],0)), E$11,
    Table1[How old are you?], "&lt;&gt;18 - 24 years old"
)</f>
        <v>4</v>
      </c>
      <c r="M43" s="2">
        <f>COUNTIFS(
    INDEX(Table1[],,MATCH($B43,Table1[#Headers],0)), F$11,
    Table1[How old are you?], "&lt;&gt;18 - 24 years old"
)</f>
        <v>11</v>
      </c>
      <c r="N43" s="2"/>
      <c r="O43" s="2" t="s">
        <v>158</v>
      </c>
      <c r="P43" t="s">
        <v>136</v>
      </c>
      <c r="Q43" t="s">
        <v>151</v>
      </c>
      <c r="R43" t="s">
        <v>11</v>
      </c>
      <c r="S43" t="s">
        <v>13</v>
      </c>
      <c r="T43" t="s">
        <v>14</v>
      </c>
      <c r="U43" s="2"/>
      <c r="V43" t="s">
        <v>136</v>
      </c>
      <c r="W43" t="s">
        <v>151</v>
      </c>
      <c r="X43" t="s">
        <v>11</v>
      </c>
      <c r="Y43" t="s">
        <v>13</v>
      </c>
      <c r="Z43" t="s">
        <v>14</v>
      </c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</row>
    <row r="44" spans="1:75" x14ac:dyDescent="0.3">
      <c r="A44" s="1"/>
      <c r="B44" s="2" t="s">
        <v>72</v>
      </c>
      <c r="C44">
        <f>COUNTIFS(
    INDEX(Table1[],,MATCH($B44,Table1[#Headers],0)), C$11,
    Table1[How old are you?], "18 - 24 years old"
)</f>
        <v>2</v>
      </c>
      <c r="D44">
        <f>COUNTIFS(
    INDEX(Table1[],,MATCH($B44,Table1[#Headers],0)), D$11,
    Table1[How old are you?], "18 - 24 years old"
)</f>
        <v>6</v>
      </c>
      <c r="E44">
        <f>COUNTIFS(
    INDEX(Table1[],,MATCH($B44,Table1[#Headers],0)), E$11,
    Table1[How old are you?], "18 - 24 years old"
)</f>
        <v>13</v>
      </c>
      <c r="F44">
        <f>COUNTIFS(
    INDEX(Table1[],,MATCH($B44,Table1[#Headers],0)), F$11,
    Table1[How old are you?], "18 - 24 years old"
)</f>
        <v>6</v>
      </c>
      <c r="G44" s="2"/>
      <c r="H44" s="2"/>
      <c r="I44" s="2" t="s">
        <v>72</v>
      </c>
      <c r="J44" s="2">
        <f>COUNTIFS(
    INDEX(Table1[],,MATCH($B44,Table1[#Headers],0)), C$11,
    Table1[How old are you?], "&lt;&gt;18 - 24 years old"
)</f>
        <v>5</v>
      </c>
      <c r="K44" s="2">
        <f>COUNTIFS(
    INDEX(Table1[],,MATCH($B44,Table1[#Headers],0)), D$11,
    Table1[How old are you?], "&lt;&gt;18 - 24 years old"
)</f>
        <v>5</v>
      </c>
      <c r="L44" s="2">
        <f>COUNTIFS(
    INDEX(Table1[],,MATCH($B44,Table1[#Headers],0)), E$11,
    Table1[How old are you?], "&lt;&gt;18 - 24 years old"
)</f>
        <v>6</v>
      </c>
      <c r="M44" s="2">
        <f>COUNTIFS(
    INDEX(Table1[],,MATCH($B44,Table1[#Headers],0)), F$11,
    Table1[How old are you?], "&lt;&gt;18 - 24 years old"
)</f>
        <v>7</v>
      </c>
      <c r="N44" s="2"/>
      <c r="O44" s="2"/>
      <c r="P44" t="s">
        <v>65</v>
      </c>
      <c r="Q44">
        <f>3*R44+2*S44+T44</f>
        <v>522</v>
      </c>
      <c r="R44">
        <f>SUMIF($P$12:$P$41,"A*",Q$12:Q$41)</f>
        <v>89</v>
      </c>
      <c r="S44">
        <f t="shared" ref="S44:T44" si="0">SUMIF($P$12:$P$41,"A*",R$12:R$41)</f>
        <v>74</v>
      </c>
      <c r="T44">
        <f t="shared" si="0"/>
        <v>107</v>
      </c>
      <c r="U44" s="2"/>
      <c r="V44" t="s">
        <v>65</v>
      </c>
      <c r="W44">
        <f>3*X44+2*Y44+Z44</f>
        <v>428</v>
      </c>
      <c r="X44">
        <f>SUMIF($V$12:$V$41,"A*",W$12:W$41)</f>
        <v>72</v>
      </c>
      <c r="Y44">
        <f t="shared" ref="Y44:Z44" si="1">SUMIF($V$12:$V$41,"A*",X$12:X$41)</f>
        <v>54</v>
      </c>
      <c r="Z44">
        <f t="shared" si="1"/>
        <v>104</v>
      </c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</row>
    <row r="45" spans="1:75" x14ac:dyDescent="0.3">
      <c r="A45" s="1"/>
      <c r="B45" s="2" t="s">
        <v>92</v>
      </c>
      <c r="C45">
        <f>COUNTIFS(
    INDEX(Table1[],,MATCH($B45,Table1[#Headers],0)), C$11,
    Table1[How old are you?], "18 - 24 years old"
)</f>
        <v>2</v>
      </c>
      <c r="D45">
        <f>COUNTIFS(
    INDEX(Table1[],,MATCH($B45,Table1[#Headers],0)), D$11,
    Table1[How old are you?], "18 - 24 years old"
)</f>
        <v>16</v>
      </c>
      <c r="E45">
        <f>COUNTIFS(
    INDEX(Table1[],,MATCH($B45,Table1[#Headers],0)), E$11,
    Table1[How old are you?], "18 - 24 years old"
)</f>
        <v>8</v>
      </c>
      <c r="F45">
        <f>COUNTIFS(
    INDEX(Table1[],,MATCH($B45,Table1[#Headers],0)), F$11,
    Table1[How old are you?], "18 - 24 years old"
)</f>
        <v>1</v>
      </c>
      <c r="G45" s="2"/>
      <c r="H45" s="2"/>
      <c r="I45" s="2" t="s">
        <v>92</v>
      </c>
      <c r="J45" s="2">
        <f>COUNTIFS(
    INDEX(Table1[],,MATCH($B45,Table1[#Headers],0)), C$11,
    Table1[How old are you?], "&lt;&gt;18 - 24 years old"
)</f>
        <v>5</v>
      </c>
      <c r="K45" s="2">
        <f>COUNTIFS(
    INDEX(Table1[],,MATCH($B45,Table1[#Headers],0)), D$11,
    Table1[How old are you?], "&lt;&gt;18 - 24 years old"
)</f>
        <v>10</v>
      </c>
      <c r="L45" s="2">
        <f>COUNTIFS(
    INDEX(Table1[],,MATCH($B45,Table1[#Headers],0)), E$11,
    Table1[How old are you?], "&lt;&gt;18 - 24 years old"
)</f>
        <v>7</v>
      </c>
      <c r="M45" s="2">
        <f>COUNTIFS(
    INDEX(Table1[],,MATCH($B45,Table1[#Headers],0)), F$11,
    Table1[How old are you?], "&lt;&gt;18 - 24 years old"
)</f>
        <v>1</v>
      </c>
      <c r="N45" s="2"/>
      <c r="O45" s="2"/>
      <c r="P45" t="s">
        <v>85</v>
      </c>
      <c r="Q45">
        <f t="shared" ref="Q45:Q46" si="2">3*R45+2*S45+T45</f>
        <v>565</v>
      </c>
      <c r="R45">
        <f>SUMIF($P$12:$P$41,"B*",Q$12:Q$41)</f>
        <v>91</v>
      </c>
      <c r="S45">
        <f t="shared" ref="S45:T45" si="3">SUMIF($P$12:$P$41,"B*",R$12:R$41)</f>
        <v>113</v>
      </c>
      <c r="T45">
        <f t="shared" si="3"/>
        <v>66</v>
      </c>
      <c r="U45" s="2"/>
      <c r="V45" t="s">
        <v>85</v>
      </c>
      <c r="W45">
        <f t="shared" ref="W45:W46" si="4">3*X45+2*Y45+Z45</f>
        <v>516</v>
      </c>
      <c r="X45">
        <f>SUMIF($V$12:$V$41,"B*",W$12:W$41)</f>
        <v>88</v>
      </c>
      <c r="Y45">
        <f t="shared" ref="Y45:Z45" si="5">SUMIF($V$12:$V$41,"B*",X$12:X$41)</f>
        <v>110</v>
      </c>
      <c r="Z45">
        <f t="shared" si="5"/>
        <v>32</v>
      </c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</row>
    <row r="46" spans="1:75" x14ac:dyDescent="0.3">
      <c r="A46" s="1"/>
      <c r="B46" s="2" t="s">
        <v>112</v>
      </c>
      <c r="C46">
        <f>COUNTIFS(
    INDEX(Table1[],,MATCH($B46,Table1[#Headers],0)), C$11,
    Table1[How old are you?], "18 - 24 years old"
)</f>
        <v>2</v>
      </c>
      <c r="D46">
        <f>COUNTIFS(
    INDEX(Table1[],,MATCH($B46,Table1[#Headers],0)), D$11,
    Table1[How old are you?], "18 - 24 years old"
)</f>
        <v>2</v>
      </c>
      <c r="E46">
        <f>COUNTIFS(
    INDEX(Table1[],,MATCH($B46,Table1[#Headers],0)), E$11,
    Table1[How old are you?], "18 - 24 years old"
)</f>
        <v>5</v>
      </c>
      <c r="F46">
        <f>COUNTIFS(
    INDEX(Table1[],,MATCH($B46,Table1[#Headers],0)), F$11,
    Table1[How old are you?], "18 - 24 years old"
)</f>
        <v>18</v>
      </c>
      <c r="G46" s="2"/>
      <c r="H46" s="2"/>
      <c r="I46" s="2" t="s">
        <v>112</v>
      </c>
      <c r="J46" s="2">
        <f>COUNTIFS(
    INDEX(Table1[],,MATCH($B46,Table1[#Headers],0)), C$11,
    Table1[How old are you?], "&lt;&gt;18 - 24 years old"
)</f>
        <v>2</v>
      </c>
      <c r="K46" s="2">
        <f>COUNTIFS(
    INDEX(Table1[],,MATCH($B46,Table1[#Headers],0)), D$11,
    Table1[How old are you?], "&lt;&gt;18 - 24 years old"
)</f>
        <v>4</v>
      </c>
      <c r="L46" s="2">
        <f>COUNTIFS(
    INDEX(Table1[],,MATCH($B46,Table1[#Headers],0)), E$11,
    Table1[How old are you?], "&lt;&gt;18 - 24 years old"
)</f>
        <v>7</v>
      </c>
      <c r="M46" s="2">
        <f>COUNTIFS(
    INDEX(Table1[],,MATCH($B46,Table1[#Headers],0)), F$11,
    Table1[How old are you?], "&lt;&gt;18 - 24 years old"
)</f>
        <v>10</v>
      </c>
      <c r="N46" s="2"/>
      <c r="O46" s="2"/>
      <c r="P46" t="s">
        <v>105</v>
      </c>
      <c r="Q46">
        <f t="shared" si="2"/>
        <v>528</v>
      </c>
      <c r="R46">
        <f>SUMIF($P$12:$P$41,"C*",Q$12:Q$41)</f>
        <v>88</v>
      </c>
      <c r="S46">
        <f t="shared" ref="S46:T46" si="6">SUMIF($P$12:$P$41,"C*",R$12:R$41)</f>
        <v>82</v>
      </c>
      <c r="T46">
        <f t="shared" si="6"/>
        <v>100</v>
      </c>
      <c r="U46" s="2"/>
      <c r="V46" t="s">
        <v>105</v>
      </c>
      <c r="W46">
        <f t="shared" si="4"/>
        <v>433</v>
      </c>
      <c r="X46">
        <f>SUMIF($V$12:$V$41,"C*",W$12:W$41)</f>
        <v>70</v>
      </c>
      <c r="Y46">
        <f t="shared" ref="Y46:Z46" si="7">SUMIF($V$12:$V$41,"C*",X$12:X$41)</f>
        <v>63</v>
      </c>
      <c r="Z46">
        <f t="shared" si="7"/>
        <v>97</v>
      </c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</row>
    <row r="47" spans="1:75" x14ac:dyDescent="0.3">
      <c r="A47" s="1"/>
      <c r="B47" s="2" t="s">
        <v>132</v>
      </c>
      <c r="C47">
        <f>COUNTIFS(
    INDEX(Table1[],,MATCH($B47,Table1[#Headers],0)), C$11,
    Table1[How old are you?], "18 - 24 years old"
)</f>
        <v>18</v>
      </c>
      <c r="D47">
        <f>COUNTIFS(
    INDEX(Table1[],,MATCH($B47,Table1[#Headers],0)), D$11,
    Table1[How old are you?], "18 - 24 years old"
)</f>
        <v>3</v>
      </c>
      <c r="E47">
        <f>COUNTIFS(
    INDEX(Table1[],,MATCH($B47,Table1[#Headers],0)), E$11,
    Table1[How old are you?], "18 - 24 years old"
)</f>
        <v>3</v>
      </c>
      <c r="F47">
        <f>COUNTIFS(
    INDEX(Table1[],,MATCH($B47,Table1[#Headers],0)), F$11,
    Table1[How old are you?], "18 - 24 years old"
)</f>
        <v>3</v>
      </c>
      <c r="G47" s="2"/>
      <c r="H47" s="2"/>
      <c r="I47" s="2" t="s">
        <v>132</v>
      </c>
      <c r="J47" s="2">
        <f>COUNTIFS(
    INDEX(Table1[],,MATCH($B47,Table1[#Headers],0)), C$11,
    Table1[How old are you?], "&lt;&gt;18 - 24 years old"
)</f>
        <v>11</v>
      </c>
      <c r="K47" s="2">
        <f>COUNTIFS(
    INDEX(Table1[],,MATCH($B47,Table1[#Headers],0)), D$11,
    Table1[How old are you?], "&lt;&gt;18 - 24 years old"
)</f>
        <v>2</v>
      </c>
      <c r="L47" s="2">
        <f>COUNTIFS(
    INDEX(Table1[],,MATCH($B47,Table1[#Headers],0)), E$11,
    Table1[How old are you?], "&lt;&gt;18 - 24 years old"
)</f>
        <v>2</v>
      </c>
      <c r="M47" s="2">
        <f>COUNTIFS(
    INDEX(Table1[],,MATCH($B47,Table1[#Headers],0)), F$11,
    Table1[How old are you?], "&lt;&gt;18 - 24 years old"
)</f>
        <v>8</v>
      </c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</row>
    <row r="48" spans="1:75" x14ac:dyDescent="0.3">
      <c r="A48" s="1"/>
      <c r="B48" s="2" t="s">
        <v>74</v>
      </c>
      <c r="C48">
        <f>COUNTIFS(
    INDEX(Table1[],,MATCH($B48,Table1[#Headers],0)), C$11,
    Table1[How old are you?], "18 - 24 years old"
)</f>
        <v>3</v>
      </c>
      <c r="D48">
        <f>COUNTIFS(
    INDEX(Table1[],,MATCH($B48,Table1[#Headers],0)), D$11,
    Table1[How old are you?], "18 - 24 years old"
)</f>
        <v>6</v>
      </c>
      <c r="E48">
        <f>COUNTIFS(
    INDEX(Table1[],,MATCH($B48,Table1[#Headers],0)), E$11,
    Table1[How old are you?], "18 - 24 years old"
)</f>
        <v>2</v>
      </c>
      <c r="F48">
        <f>COUNTIFS(
    INDEX(Table1[],,MATCH($B48,Table1[#Headers],0)), F$11,
    Table1[How old are you?], "18 - 24 years old"
)</f>
        <v>16</v>
      </c>
      <c r="G48" s="2"/>
      <c r="H48" s="2"/>
      <c r="I48" s="2" t="s">
        <v>74</v>
      </c>
      <c r="J48" s="2">
        <f>COUNTIFS(
    INDEX(Table1[],,MATCH($B48,Table1[#Headers],0)), C$11,
    Table1[How old are you?], "&lt;&gt;18 - 24 years old"
)</f>
        <v>8</v>
      </c>
      <c r="K48" s="2">
        <f>COUNTIFS(
    INDEX(Table1[],,MATCH($B48,Table1[#Headers],0)), D$11,
    Table1[How old are you?], "&lt;&gt;18 - 24 years old"
)</f>
        <v>5</v>
      </c>
      <c r="L48" s="2">
        <f>COUNTIFS(
    INDEX(Table1[],,MATCH($B48,Table1[#Headers],0)), E$11,
    Table1[How old are you?], "&lt;&gt;18 - 24 years old"
)</f>
        <v>3</v>
      </c>
      <c r="M48" s="2">
        <f>COUNTIFS(
    INDEX(Table1[],,MATCH($B48,Table1[#Headers],0)), F$11,
    Table1[How old are you?], "&lt;&gt;18 - 24 years old"
)</f>
        <v>7</v>
      </c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</row>
    <row r="49" spans="1:75" x14ac:dyDescent="0.3">
      <c r="A49" s="1"/>
      <c r="B49" s="2" t="s">
        <v>94</v>
      </c>
      <c r="C49">
        <f>COUNTIFS(
    INDEX(Table1[],,MATCH($B49,Table1[#Headers],0)), C$11,
    Table1[How old are you?], "18 - 24 years old"
)</f>
        <v>9</v>
      </c>
      <c r="D49">
        <f>COUNTIFS(
    INDEX(Table1[],,MATCH($B49,Table1[#Headers],0)), D$11,
    Table1[How old are you?], "18 - 24 years old"
)</f>
        <v>7</v>
      </c>
      <c r="E49">
        <f>COUNTIFS(
    INDEX(Table1[],,MATCH($B49,Table1[#Headers],0)), E$11,
    Table1[How old are you?], "18 - 24 years old"
)</f>
        <v>4</v>
      </c>
      <c r="F49">
        <f>COUNTIFS(
    INDEX(Table1[],,MATCH($B49,Table1[#Headers],0)), F$11,
    Table1[How old are you?], "18 - 24 years old"
)</f>
        <v>7</v>
      </c>
      <c r="G49" s="2"/>
      <c r="H49" s="2"/>
      <c r="I49" s="2" t="s">
        <v>94</v>
      </c>
      <c r="J49" s="2">
        <f>COUNTIFS(
    INDEX(Table1[],,MATCH($B49,Table1[#Headers],0)), C$11,
    Table1[How old are you?], "&lt;&gt;18 - 24 years old"
)</f>
        <v>4</v>
      </c>
      <c r="K49" s="2">
        <f>COUNTIFS(
    INDEX(Table1[],,MATCH($B49,Table1[#Headers],0)), D$11,
    Table1[How old are you?], "&lt;&gt;18 - 24 years old"
)</f>
        <v>5</v>
      </c>
      <c r="L49" s="2">
        <f>COUNTIFS(
    INDEX(Table1[],,MATCH($B49,Table1[#Headers],0)), E$11,
    Table1[How old are you?], "&lt;&gt;18 - 24 years old"
)</f>
        <v>10</v>
      </c>
      <c r="M49" s="2">
        <f>COUNTIFS(
    INDEX(Table1[],,MATCH($B49,Table1[#Headers],0)), F$11,
    Table1[How old are you?], "&lt;&gt;18 - 24 years old"
)</f>
        <v>4</v>
      </c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</row>
    <row r="50" spans="1:75" x14ac:dyDescent="0.3">
      <c r="A50" s="1"/>
      <c r="B50" s="2" t="s">
        <v>114</v>
      </c>
      <c r="C50">
        <f>COUNTIFS(
    INDEX(Table1[],,MATCH($B50,Table1[#Headers],0)), C$11,
    Table1[How old are you?], "18 - 24 years old"
)</f>
        <v>4</v>
      </c>
      <c r="D50">
        <f>COUNTIFS(
    INDEX(Table1[],,MATCH($B50,Table1[#Headers],0)), D$11,
    Table1[How old are you?], "18 - 24 years old"
)</f>
        <v>10</v>
      </c>
      <c r="E50">
        <f>COUNTIFS(
    INDEX(Table1[],,MATCH($B50,Table1[#Headers],0)), E$11,
    Table1[How old are you?], "18 - 24 years old"
)</f>
        <v>11</v>
      </c>
      <c r="F50">
        <f>COUNTIFS(
    INDEX(Table1[],,MATCH($B50,Table1[#Headers],0)), F$11,
    Table1[How old are you?], "18 - 24 years old"
)</f>
        <v>2</v>
      </c>
      <c r="G50" s="2"/>
      <c r="H50" s="2"/>
      <c r="I50" s="2" t="s">
        <v>114</v>
      </c>
      <c r="J50" s="2">
        <f>COUNTIFS(
    INDEX(Table1[],,MATCH($B50,Table1[#Headers],0)), C$11,
    Table1[How old are you?], "&lt;&gt;18 - 24 years old"
)</f>
        <v>4</v>
      </c>
      <c r="K50" s="2">
        <f>COUNTIFS(
    INDEX(Table1[],,MATCH($B50,Table1[#Headers],0)), D$11,
    Table1[How old are you?], "&lt;&gt;18 - 24 years old"
)</f>
        <v>7</v>
      </c>
      <c r="L50" s="2">
        <f>COUNTIFS(
    INDEX(Table1[],,MATCH($B50,Table1[#Headers],0)), E$11,
    Table1[How old are you?], "&lt;&gt;18 - 24 years old"
)</f>
        <v>4</v>
      </c>
      <c r="M50" s="2">
        <f>COUNTIFS(
    INDEX(Table1[],,MATCH($B50,Table1[#Headers],0)), F$11,
    Table1[How old are you?], "&lt;&gt;18 - 24 years old"
)</f>
        <v>8</v>
      </c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</row>
    <row r="51" spans="1:75" x14ac:dyDescent="0.3">
      <c r="A51" s="1"/>
      <c r="B51" s="2" t="s">
        <v>134</v>
      </c>
      <c r="C51">
        <f>COUNTIFS(
    INDEX(Table1[],,MATCH($B51,Table1[#Headers],0)), C$11,
    Table1[How old are you?], "18 - 24 years old"
)</f>
        <v>9</v>
      </c>
      <c r="D51">
        <f>COUNTIFS(
    INDEX(Table1[],,MATCH($B51,Table1[#Headers],0)), D$11,
    Table1[How old are you?], "18 - 24 years old"
)</f>
        <v>5</v>
      </c>
      <c r="E51">
        <f>COUNTIFS(
    INDEX(Table1[],,MATCH($B51,Table1[#Headers],0)), E$11,
    Table1[How old are you?], "18 - 24 years old"
)</f>
        <v>9</v>
      </c>
      <c r="F51">
        <f>COUNTIFS(
    INDEX(Table1[],,MATCH($B51,Table1[#Headers],0)), F$11,
    Table1[How old are you?], "18 - 24 years old"
)</f>
        <v>4</v>
      </c>
      <c r="G51" s="2"/>
      <c r="H51" s="2"/>
      <c r="I51" s="2" t="s">
        <v>134</v>
      </c>
      <c r="J51" s="2">
        <f>COUNTIFS(
    INDEX(Table1[],,MATCH($B51,Table1[#Headers],0)), C$11,
    Table1[How old are you?], "&lt;&gt;18 - 24 years old"
)</f>
        <v>7</v>
      </c>
      <c r="K51" s="2">
        <f>COUNTIFS(
    INDEX(Table1[],,MATCH($B51,Table1[#Headers],0)), D$11,
    Table1[How old are you?], "&lt;&gt;18 - 24 years old"
)</f>
        <v>8</v>
      </c>
      <c r="L51" s="2">
        <f>COUNTIFS(
    INDEX(Table1[],,MATCH($B51,Table1[#Headers],0)), E$11,
    Table1[How old are you?], "&lt;&gt;18 - 24 years old"
)</f>
        <v>5</v>
      </c>
      <c r="M51" s="2">
        <f>COUNTIFS(
    INDEX(Table1[],,MATCH($B51,Table1[#Headers],0)), F$11,
    Table1[How old are you?], "&lt;&gt;18 - 24 years old"
)</f>
        <v>3</v>
      </c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</row>
    <row r="52" spans="1:75" x14ac:dyDescent="0.3">
      <c r="A52" s="1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</row>
    <row r="53" spans="1:75" x14ac:dyDescent="0.3">
      <c r="A53" s="1" t="s">
        <v>159</v>
      </c>
      <c r="B53" s="2"/>
      <c r="C53" s="2" t="s">
        <v>11</v>
      </c>
      <c r="D53" s="2" t="s">
        <v>13</v>
      </c>
      <c r="E53" s="2" t="s">
        <v>14</v>
      </c>
      <c r="F53" s="2" t="s">
        <v>12</v>
      </c>
      <c r="G53" s="2"/>
      <c r="H53" s="2"/>
      <c r="I53" s="2"/>
      <c r="J53" s="2" t="s">
        <v>11</v>
      </c>
      <c r="K53" s="2" t="s">
        <v>13</v>
      </c>
      <c r="L53" s="2" t="s">
        <v>14</v>
      </c>
      <c r="M53" s="2" t="s">
        <v>12</v>
      </c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</row>
    <row r="54" spans="1:75" x14ac:dyDescent="0.3">
      <c r="A54" s="1"/>
      <c r="B54" t="s">
        <v>139</v>
      </c>
      <c r="C54">
        <f>SUMIF($B$12:$B$31,"A*",C$12:C$31)</f>
        <v>69</v>
      </c>
      <c r="D54">
        <f t="shared" ref="D54" si="8">SUMIF($B$12:$B$31,"A*",D$12:D$31)</f>
        <v>30</v>
      </c>
      <c r="E54">
        <f>SUMIF($B$12:$B$31,"A*",E$12:E$31)</f>
        <v>18</v>
      </c>
      <c r="F54">
        <f>SUMIF($B$12:$B$31,"A*",F$12:F$31)</f>
        <v>18</v>
      </c>
      <c r="G54" s="2"/>
      <c r="H54" s="2"/>
      <c r="I54" t="s">
        <v>139</v>
      </c>
      <c r="J54">
        <f>SUMIF($I$12:$I$31,"A*",J$12:J$31)</f>
        <v>43</v>
      </c>
      <c r="K54">
        <f t="shared" ref="K54:M54" si="9">SUMIF($I$12:$I$31,"A*",K$12:K$31)</f>
        <v>28</v>
      </c>
      <c r="L54">
        <f t="shared" si="9"/>
        <v>24</v>
      </c>
      <c r="M54">
        <f t="shared" si="9"/>
        <v>20</v>
      </c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</row>
    <row r="55" spans="1:75" x14ac:dyDescent="0.3">
      <c r="A55" s="1"/>
      <c r="B55" t="s">
        <v>140</v>
      </c>
      <c r="C55">
        <f>SUMIF($B$12:$B$31,"B*",C$12:C$31)</f>
        <v>13</v>
      </c>
      <c r="D55">
        <f t="shared" ref="D55:F55" si="10">SUMIF($B$12:$B$31,"B*",D$12:D$31)</f>
        <v>20</v>
      </c>
      <c r="E55">
        <f t="shared" si="10"/>
        <v>31</v>
      </c>
      <c r="F55">
        <f t="shared" si="10"/>
        <v>71</v>
      </c>
      <c r="G55" s="2"/>
      <c r="H55" s="2"/>
      <c r="I55" t="s">
        <v>140</v>
      </c>
      <c r="J55">
        <f>SUMIF($I$12:$I$31,"B*",J$12:J$31)</f>
        <v>24</v>
      </c>
      <c r="K55">
        <f t="shared" ref="K55:M55" si="11">SUMIF($I$12:$I$31,"B*",K$12:K$31)</f>
        <v>22</v>
      </c>
      <c r="L55">
        <f t="shared" si="11"/>
        <v>17</v>
      </c>
      <c r="M55">
        <f t="shared" si="11"/>
        <v>52</v>
      </c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</row>
    <row r="56" spans="1:75" x14ac:dyDescent="0.3">
      <c r="A56" s="1"/>
      <c r="B56" t="s">
        <v>141</v>
      </c>
      <c r="C56">
        <f>SUMIF($B$12:$B$31,"C*",C$12:C$31)</f>
        <v>28</v>
      </c>
      <c r="D56">
        <f t="shared" ref="D56:F56" si="12">SUMIF($B$12:$B$31,"C*",D$12:D$31)</f>
        <v>61</v>
      </c>
      <c r="E56">
        <f t="shared" si="12"/>
        <v>27</v>
      </c>
      <c r="F56">
        <f t="shared" si="12"/>
        <v>19</v>
      </c>
      <c r="G56" s="2"/>
      <c r="H56" s="2"/>
      <c r="I56" t="s">
        <v>141</v>
      </c>
      <c r="J56">
        <f>SUMIF($I$12:$I$31,"C*",J$12:J$31)</f>
        <v>21</v>
      </c>
      <c r="K56">
        <f t="shared" ref="K56:M56" si="13">SUMIF($I$12:$I$31,"C*",K$12:K$31)</f>
        <v>35</v>
      </c>
      <c r="L56">
        <f t="shared" si="13"/>
        <v>40</v>
      </c>
      <c r="M56">
        <f t="shared" si="13"/>
        <v>19</v>
      </c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</row>
    <row r="57" spans="1:75" x14ac:dyDescent="0.3">
      <c r="A57" s="1"/>
      <c r="B57" t="s">
        <v>142</v>
      </c>
      <c r="C57">
        <f>SUMIF($B$12:$B$31,"D*",C$12:C$31)</f>
        <v>22</v>
      </c>
      <c r="D57">
        <f t="shared" ref="D57:F57" si="14">SUMIF($B$12:$B$31,"D*",D$12:D$31)</f>
        <v>28</v>
      </c>
      <c r="E57">
        <f t="shared" si="14"/>
        <v>56</v>
      </c>
      <c r="F57">
        <f t="shared" si="14"/>
        <v>29</v>
      </c>
      <c r="G57" s="2"/>
      <c r="H57" s="2"/>
      <c r="I57" t="s">
        <v>142</v>
      </c>
      <c r="J57">
        <f>SUMIF($I$12:$I$31,"D*",J$12:J$31)</f>
        <v>25</v>
      </c>
      <c r="K57">
        <f t="shared" ref="K57:M57" si="15">SUMIF($I$12:$I$31,"D*",K$12:K$31)</f>
        <v>26</v>
      </c>
      <c r="L57">
        <f t="shared" si="15"/>
        <v>32</v>
      </c>
      <c r="M57">
        <f t="shared" si="15"/>
        <v>32</v>
      </c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</row>
    <row r="58" spans="1:75" x14ac:dyDescent="0.3">
      <c r="A58" s="1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</row>
    <row r="59" spans="1:75" x14ac:dyDescent="0.3">
      <c r="A59" t="s">
        <v>160</v>
      </c>
      <c r="B59" s="2"/>
      <c r="C59" s="2" t="s">
        <v>11</v>
      </c>
      <c r="D59" s="2" t="s">
        <v>13</v>
      </c>
      <c r="E59" s="2" t="s">
        <v>14</v>
      </c>
      <c r="F59" s="2" t="s">
        <v>12</v>
      </c>
      <c r="J59" t="s">
        <v>11</v>
      </c>
      <c r="K59" t="s">
        <v>13</v>
      </c>
      <c r="L59" t="s">
        <v>14</v>
      </c>
      <c r="M59" t="s">
        <v>12</v>
      </c>
    </row>
    <row r="60" spans="1:75" x14ac:dyDescent="0.3">
      <c r="B60" t="s">
        <v>143</v>
      </c>
      <c r="C60" s="2">
        <f>SUMIF($B$32:$B$51,"A*",C$32:C$51)</f>
        <v>48</v>
      </c>
      <c r="D60" s="2">
        <f t="shared" ref="D60:F60" si="16">SUMIF($B$32:$B$51,"A*",D$32:D$51)</f>
        <v>26</v>
      </c>
      <c r="E60" s="2">
        <f t="shared" si="16"/>
        <v>30</v>
      </c>
      <c r="F60" s="2">
        <f t="shared" si="16"/>
        <v>31</v>
      </c>
      <c r="H60" s="2"/>
      <c r="I60" t="s">
        <v>143</v>
      </c>
      <c r="J60" s="2">
        <f>SUMIF($I$32:$I$51,"A*",J$32:J$51)</f>
        <v>50</v>
      </c>
      <c r="K60" s="2">
        <f t="shared" ref="K60:M60" si="17">SUMIF($I$32:$I$51,"A*",K$32:K$51)</f>
        <v>27</v>
      </c>
      <c r="L60" s="2">
        <f t="shared" si="17"/>
        <v>21</v>
      </c>
      <c r="M60" s="2">
        <f t="shared" si="17"/>
        <v>17</v>
      </c>
      <c r="O60" s="2"/>
    </row>
    <row r="61" spans="1:75" x14ac:dyDescent="0.3">
      <c r="B61" t="s">
        <v>144</v>
      </c>
      <c r="C61" s="2">
        <f>SUMIF($B$32:$B$51,"B*",C$32:C$51)</f>
        <v>15</v>
      </c>
      <c r="D61" s="2">
        <f t="shared" ref="D61:F61" si="18">SUMIF($B$32:$B$51,"B*",D$32:D$51)</f>
        <v>46</v>
      </c>
      <c r="E61" s="2">
        <f t="shared" si="18"/>
        <v>39</v>
      </c>
      <c r="F61" s="2">
        <f t="shared" si="18"/>
        <v>35</v>
      </c>
      <c r="I61" t="s">
        <v>144</v>
      </c>
      <c r="J61" s="2">
        <f>SUMIF($I$32:$I$51,"B*",J$32:J$51)</f>
        <v>17</v>
      </c>
      <c r="K61" s="2">
        <f t="shared" ref="K61:M61" si="19">SUMIF($I$32:$I$51,"B*",K$32:K$51)</f>
        <v>29</v>
      </c>
      <c r="L61" s="2">
        <f t="shared" si="19"/>
        <v>45</v>
      </c>
      <c r="M61" s="2">
        <f t="shared" si="19"/>
        <v>24</v>
      </c>
      <c r="O61" s="2"/>
    </row>
    <row r="62" spans="1:75" x14ac:dyDescent="0.3">
      <c r="B62" t="s">
        <v>145</v>
      </c>
      <c r="C62" s="2">
        <f>SUMIF($B$32:$B$51,"C*",C$32:C$51)</f>
        <v>10</v>
      </c>
      <c r="D62" s="2">
        <f t="shared" ref="D62:F62" si="20">SUMIF($B$32:$B$51,"C*",D$32:D$51)</f>
        <v>37</v>
      </c>
      <c r="E62" s="2">
        <f t="shared" si="20"/>
        <v>32</v>
      </c>
      <c r="F62" s="2">
        <f t="shared" si="20"/>
        <v>56</v>
      </c>
      <c r="I62" t="s">
        <v>145</v>
      </c>
      <c r="J62" s="2">
        <f>SUMIF($I$32:$I$51,"C*",J$32:J$51)</f>
        <v>13</v>
      </c>
      <c r="K62" s="2">
        <f t="shared" ref="K62:M62" si="21">SUMIF($I$32:$I$51,"C*",K$32:K$51)</f>
        <v>27</v>
      </c>
      <c r="L62" s="2">
        <f t="shared" si="21"/>
        <v>28</v>
      </c>
      <c r="M62" s="2">
        <f t="shared" si="21"/>
        <v>47</v>
      </c>
      <c r="O62" s="2"/>
    </row>
    <row r="63" spans="1:75" x14ac:dyDescent="0.3">
      <c r="B63" t="s">
        <v>146</v>
      </c>
      <c r="C63" s="2">
        <f>SUMIF($B$32:$B$51,"D*",C$32:C$51)</f>
        <v>51</v>
      </c>
      <c r="D63" s="2">
        <f t="shared" ref="D63:F63" si="22">SUMIF($B$32:$B$51,"D*",D$32:D$51)</f>
        <v>29</v>
      </c>
      <c r="E63" s="2">
        <f t="shared" si="22"/>
        <v>40</v>
      </c>
      <c r="F63" s="2">
        <f t="shared" si="22"/>
        <v>15</v>
      </c>
      <c r="I63" t="s">
        <v>146</v>
      </c>
      <c r="J63" s="2">
        <f>SUMIF($I$32:$I$51,"D*",J$32:J$51)</f>
        <v>35</v>
      </c>
      <c r="K63" s="2">
        <f t="shared" ref="K63:M63" si="23">SUMIF($I$32:$I$51,"D*",K$32:K$51)</f>
        <v>29</v>
      </c>
      <c r="L63" s="2">
        <f t="shared" si="23"/>
        <v>18</v>
      </c>
      <c r="M63" s="2">
        <f t="shared" si="23"/>
        <v>33</v>
      </c>
      <c r="O63" s="2"/>
    </row>
    <row r="65" spans="1:14" x14ac:dyDescent="0.3">
      <c r="C65" s="2" t="s">
        <v>11</v>
      </c>
      <c r="D65" s="2" t="s">
        <v>13</v>
      </c>
      <c r="E65" s="2" t="s">
        <v>14</v>
      </c>
      <c r="F65" s="2" t="s">
        <v>12</v>
      </c>
      <c r="G65" s="2" t="s">
        <v>151</v>
      </c>
      <c r="J65" s="2" t="s">
        <v>11</v>
      </c>
      <c r="K65" s="2" t="s">
        <v>13</v>
      </c>
      <c r="L65" s="2" t="s">
        <v>14</v>
      </c>
      <c r="M65" s="2" t="s">
        <v>12</v>
      </c>
      <c r="N65" s="2" t="s">
        <v>151</v>
      </c>
    </row>
    <row r="66" spans="1:14" x14ac:dyDescent="0.3">
      <c r="A66" t="s">
        <v>158</v>
      </c>
      <c r="B66" t="s">
        <v>147</v>
      </c>
      <c r="C66">
        <f>C63+C54</f>
        <v>120</v>
      </c>
      <c r="D66">
        <f t="shared" ref="D66:F66" si="24">D63+D54</f>
        <v>59</v>
      </c>
      <c r="E66">
        <f t="shared" si="24"/>
        <v>58</v>
      </c>
      <c r="F66">
        <f t="shared" si="24"/>
        <v>33</v>
      </c>
      <c r="G66">
        <f>4*C66+3*D66+2*E66+F66</f>
        <v>806</v>
      </c>
      <c r="I66" t="s">
        <v>147</v>
      </c>
      <c r="J66">
        <f>J63+J54</f>
        <v>78</v>
      </c>
      <c r="K66">
        <f t="shared" ref="K66:M66" si="25">K63+K54</f>
        <v>57</v>
      </c>
      <c r="L66">
        <f t="shared" si="25"/>
        <v>42</v>
      </c>
      <c r="M66">
        <f t="shared" si="25"/>
        <v>53</v>
      </c>
      <c r="N66">
        <f>4*J66+3*K66+2*L66+M66</f>
        <v>620</v>
      </c>
    </row>
    <row r="67" spans="1:14" x14ac:dyDescent="0.3">
      <c r="B67" t="s">
        <v>148</v>
      </c>
      <c r="C67">
        <f>C62+C55</f>
        <v>23</v>
      </c>
      <c r="D67">
        <f t="shared" ref="D67:F67" si="26">D62+D55</f>
        <v>57</v>
      </c>
      <c r="E67">
        <f t="shared" si="26"/>
        <v>63</v>
      </c>
      <c r="F67">
        <f t="shared" si="26"/>
        <v>127</v>
      </c>
      <c r="G67">
        <f t="shared" ref="G67:G69" si="27">4*C67+3*D67+2*E67+F67</f>
        <v>516</v>
      </c>
      <c r="I67" t="s">
        <v>148</v>
      </c>
      <c r="J67">
        <f>J62+J55</f>
        <v>37</v>
      </c>
      <c r="K67">
        <f t="shared" ref="K67:M67" si="28">K62+K55</f>
        <v>49</v>
      </c>
      <c r="L67">
        <f t="shared" si="28"/>
        <v>45</v>
      </c>
      <c r="M67">
        <f t="shared" si="28"/>
        <v>99</v>
      </c>
      <c r="N67">
        <f t="shared" ref="N67:N69" si="29">4*J67+3*K67+2*L67+M67</f>
        <v>484</v>
      </c>
    </row>
    <row r="68" spans="1:14" x14ac:dyDescent="0.3">
      <c r="B68" t="s">
        <v>149</v>
      </c>
      <c r="C68">
        <f>C60+C57</f>
        <v>70</v>
      </c>
      <c r="D68">
        <f t="shared" ref="D68:F68" si="30">D60+D57</f>
        <v>54</v>
      </c>
      <c r="E68">
        <f t="shared" si="30"/>
        <v>86</v>
      </c>
      <c r="F68">
        <f t="shared" si="30"/>
        <v>60</v>
      </c>
      <c r="G68">
        <f t="shared" si="27"/>
        <v>674</v>
      </c>
      <c r="I68" t="s">
        <v>149</v>
      </c>
      <c r="J68">
        <f>J60+J57</f>
        <v>75</v>
      </c>
      <c r="K68">
        <f t="shared" ref="K68:M68" si="31">K60+K57</f>
        <v>53</v>
      </c>
      <c r="L68">
        <f t="shared" si="31"/>
        <v>53</v>
      </c>
      <c r="M68">
        <f t="shared" si="31"/>
        <v>49</v>
      </c>
      <c r="N68">
        <f t="shared" si="29"/>
        <v>614</v>
      </c>
    </row>
    <row r="69" spans="1:14" x14ac:dyDescent="0.3">
      <c r="B69" t="s">
        <v>150</v>
      </c>
      <c r="C69">
        <f>C61+C56</f>
        <v>43</v>
      </c>
      <c r="D69">
        <f t="shared" ref="D69:F69" si="32">D61+D56</f>
        <v>107</v>
      </c>
      <c r="E69">
        <f t="shared" si="32"/>
        <v>66</v>
      </c>
      <c r="F69">
        <f t="shared" si="32"/>
        <v>54</v>
      </c>
      <c r="G69">
        <f t="shared" si="27"/>
        <v>679</v>
      </c>
      <c r="I69" t="s">
        <v>150</v>
      </c>
      <c r="J69">
        <f>J61+J56</f>
        <v>38</v>
      </c>
      <c r="K69">
        <f t="shared" ref="K69:M69" si="33">K61+K56</f>
        <v>64</v>
      </c>
      <c r="L69">
        <f t="shared" si="33"/>
        <v>85</v>
      </c>
      <c r="M69">
        <f t="shared" si="33"/>
        <v>43</v>
      </c>
      <c r="N69">
        <f t="shared" si="29"/>
        <v>557</v>
      </c>
    </row>
    <row r="72" spans="1:14" ht="12" customHeight="1" x14ac:dyDescent="0.3"/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73E812-3897-43E8-90B1-EC10337A5C7A}">
  <dimension ref="A7:Z69"/>
  <sheetViews>
    <sheetView topLeftCell="E35" workbookViewId="0">
      <selection activeCell="P43" sqref="P43:Z46"/>
    </sheetView>
  </sheetViews>
  <sheetFormatPr defaultRowHeight="14.4" x14ac:dyDescent="0.3"/>
  <cols>
    <col min="2" max="2" width="15.88671875" customWidth="1"/>
    <col min="9" max="9" width="17.77734375" customWidth="1"/>
  </cols>
  <sheetData>
    <row r="7" spans="2:25" x14ac:dyDescent="0.3">
      <c r="B7" s="2" t="s">
        <v>156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P7" s="2" t="s">
        <v>157</v>
      </c>
      <c r="Q7" s="2"/>
      <c r="R7" s="2"/>
      <c r="S7" s="2"/>
      <c r="T7" s="2"/>
      <c r="U7" s="2"/>
      <c r="V7" s="2"/>
      <c r="W7" s="2"/>
      <c r="X7" s="2"/>
      <c r="Y7" s="2"/>
    </row>
    <row r="8" spans="2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2:25" x14ac:dyDescent="0.3">
      <c r="B9" t="s">
        <v>63</v>
      </c>
      <c r="D9" s="2"/>
      <c r="E9" s="2"/>
      <c r="F9" s="2"/>
      <c r="G9" s="2"/>
      <c r="H9" s="2"/>
      <c r="I9" t="s">
        <v>64</v>
      </c>
      <c r="J9" s="2"/>
      <c r="K9" s="2"/>
      <c r="L9" s="2"/>
      <c r="M9" s="2"/>
      <c r="N9" s="2"/>
      <c r="P9" t="s">
        <v>63</v>
      </c>
      <c r="R9" s="2"/>
      <c r="S9" s="2"/>
      <c r="T9" s="2"/>
      <c r="V9" t="s">
        <v>64</v>
      </c>
      <c r="W9" s="2"/>
      <c r="X9" s="2"/>
      <c r="Y9" s="2"/>
    </row>
    <row r="10" spans="2:25" x14ac:dyDescent="0.3">
      <c r="B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P10" s="2"/>
      <c r="Q10" s="2"/>
      <c r="R10" s="2"/>
      <c r="S10" s="2"/>
      <c r="T10" s="2"/>
      <c r="V10" s="2"/>
      <c r="W10" s="2"/>
      <c r="X10" s="2"/>
      <c r="Y10" s="2"/>
    </row>
    <row r="11" spans="2:25" x14ac:dyDescent="0.3">
      <c r="B11" s="2" t="s">
        <v>136</v>
      </c>
      <c r="C11" t="s">
        <v>11</v>
      </c>
      <c r="D11" s="2" t="s">
        <v>13</v>
      </c>
      <c r="E11" s="2" t="s">
        <v>14</v>
      </c>
      <c r="F11" s="2" t="s">
        <v>12</v>
      </c>
      <c r="G11" s="2"/>
      <c r="H11" s="2"/>
      <c r="I11" s="2" t="s">
        <v>136</v>
      </c>
      <c r="J11" t="s">
        <v>11</v>
      </c>
      <c r="K11" s="2" t="s">
        <v>13</v>
      </c>
      <c r="L11" s="2" t="s">
        <v>14</v>
      </c>
      <c r="M11" s="2" t="s">
        <v>12</v>
      </c>
      <c r="N11" s="2"/>
      <c r="P11" t="s">
        <v>136</v>
      </c>
      <c r="Q11" t="s">
        <v>11</v>
      </c>
      <c r="R11" t="s">
        <v>13</v>
      </c>
      <c r="S11" t="s">
        <v>14</v>
      </c>
      <c r="T11" s="2"/>
      <c r="V11" t="s">
        <v>136</v>
      </c>
      <c r="W11" t="s">
        <v>11</v>
      </c>
      <c r="X11" t="s">
        <v>13</v>
      </c>
      <c r="Y11" t="s">
        <v>14</v>
      </c>
    </row>
    <row r="12" spans="2:25" x14ac:dyDescent="0.3">
      <c r="B12" s="2" t="s">
        <v>65</v>
      </c>
      <c r="C12">
        <f>COUNTIFS(
    INDEX(Table1[],,MATCH($B12,Table1[#Headers],0)), C$11,
    Table1[Do you have any experience in creating/designing art?], "No experience"
)</f>
        <v>5</v>
      </c>
      <c r="D12">
        <f>COUNTIFS(
    INDEX(Table1[],,MATCH($B12,Table1[#Headers],0)), D$11,
    Table1[Do you have any experience in creating/designing art?], "No experience"
)</f>
        <v>9</v>
      </c>
      <c r="E12">
        <f>COUNTIFS(
    INDEX(Table1[],,MATCH($B12,Table1[#Headers],0)), E$11,
    Table1[Do you have any experience in creating/designing art?], "No experience"
)</f>
        <v>8</v>
      </c>
      <c r="F12">
        <f>COUNTIFS(
    INDEX(Table1[],,MATCH($B12,Table1[#Headers],0)), F$11,
    Table1[Do you have any experience in creating/designing art?], "No experience"
)</f>
        <v>7</v>
      </c>
      <c r="G12" s="2"/>
      <c r="H12" s="2"/>
      <c r="I12" s="2" t="s">
        <v>65</v>
      </c>
      <c r="J12">
        <f>COUNTIFS(
    INDEX(Table1[],,MATCH($I12,Table1[#Headers],0)), J$11,
    Table1[Do you have any experience in creating/designing art?], "&lt;&gt;No experience"
)</f>
        <v>7</v>
      </c>
      <c r="K12">
        <f>COUNTIFS(
    INDEX(Table1[],,MATCH($I12,Table1[#Headers],0)), K$11,
    Table1[Do you have any experience in creating/designing art?], "&lt;&gt;No experience"
)</f>
        <v>8</v>
      </c>
      <c r="L12">
        <f>COUNTIFS(
    INDEX(Table1[],,MATCH($I12,Table1[#Headers],0)), L$11,
    Table1[Do you have any experience in creating/designing art?], "&lt;&gt;No experience"
)</f>
        <v>5</v>
      </c>
      <c r="M12">
        <f>COUNTIFS(
    INDEX(Table1[],,MATCH($I12,Table1[#Headers],0)), M$11,
    Table1[Do you have any experience in creating/designing art?], "&lt;&gt;No experience"
)</f>
        <v>1</v>
      </c>
      <c r="N12" s="2"/>
      <c r="P12" t="s">
        <v>75</v>
      </c>
      <c r="Q12">
        <f>COUNTIFS(
    INDEX(Table1[],,MATCH($P12,Table1[#Headers],0)), Q$11,
    Table1[Do you have any experience in creating/designing art?], "No experience"
)</f>
        <v>2</v>
      </c>
      <c r="R12">
        <f>COUNTIFS(
    INDEX(Table1[],,MATCH($P12,Table1[#Headers],0)), R$11,
    Table1[Do you have any experience in creating/designing art?], "No experience"
)</f>
        <v>5</v>
      </c>
      <c r="S12">
        <f>COUNTIFS(
    INDEX(Table1[],,MATCH($P12,Table1[#Headers],0)), S$11,
    Table1[Do you have any experience in creating/designing art?], "No experience"
)</f>
        <v>22</v>
      </c>
      <c r="T12" s="2"/>
      <c r="V12" t="s">
        <v>75</v>
      </c>
      <c r="W12">
        <f>COUNTIFS(
    INDEX(Table1[],,MATCH($V12,Table1[#Headers],0)), W$11,
    Table1[Do you have any experience in creating/designing art?], "&lt;&gt;No experience"
)</f>
        <v>2</v>
      </c>
      <c r="X12">
        <f>COUNTIFS(
    INDEX(Table1[],,MATCH($V12,Table1[#Headers],0)), X$11,
    Table1[Do you have any experience in creating/designing art?], "&lt;&gt;No experience"
)</f>
        <v>5</v>
      </c>
      <c r="Y12">
        <f>COUNTIFS(
    INDEX(Table1[],,MATCH($V12,Table1[#Headers],0)), Y$11,
    Table1[Do you have any experience in creating/designing art?], "&lt;&gt;No experience"
)</f>
        <v>14</v>
      </c>
    </row>
    <row r="13" spans="2:25" x14ac:dyDescent="0.3">
      <c r="B13" s="2" t="s">
        <v>85</v>
      </c>
      <c r="C13">
        <f>COUNTIFS(
    INDEX(Table1[],,MATCH($B13,Table1[#Headers],0)), C$11,
    Table1[Do you have any experience in creating/designing art?], "No experience"
)</f>
        <v>7</v>
      </c>
      <c r="D13">
        <f>COUNTIFS(
    INDEX(Table1[],,MATCH($B13,Table1[#Headers],0)), D$11,
    Table1[Do you have any experience in creating/designing art?], "No experience"
)</f>
        <v>2</v>
      </c>
      <c r="E13">
        <f>COUNTIFS(
    INDEX(Table1[],,MATCH($B13,Table1[#Headers],0)), E$11,
    Table1[Do you have any experience in creating/designing art?], "No experience"
)</f>
        <v>5</v>
      </c>
      <c r="F13">
        <f>COUNTIFS(
    INDEX(Table1[],,MATCH($B13,Table1[#Headers],0)), F$11,
    Table1[Do you have any experience in creating/designing art?], "No experience"
)</f>
        <v>15</v>
      </c>
      <c r="G13" s="2"/>
      <c r="H13" s="2"/>
      <c r="I13" s="2" t="s">
        <v>85</v>
      </c>
      <c r="J13">
        <f>COUNTIFS(
    INDEX(Table1[],,MATCH($I13,Table1[#Headers],0)), J$11,
    Table1[Do you have any experience in creating/designing art?], "&lt;&gt;No experience"
)</f>
        <v>3</v>
      </c>
      <c r="K13">
        <f>COUNTIFS(
    INDEX(Table1[],,MATCH($I13,Table1[#Headers],0)), K$11,
    Table1[Do you have any experience in creating/designing art?], "&lt;&gt;No experience"
)</f>
        <v>1</v>
      </c>
      <c r="L13">
        <f>COUNTIFS(
    INDEX(Table1[],,MATCH($I13,Table1[#Headers],0)), L$11,
    Table1[Do you have any experience in creating/designing art?], "&lt;&gt;No experience"
)</f>
        <v>1</v>
      </c>
      <c r="M13">
        <f>COUNTIFS(
    INDEX(Table1[],,MATCH($I13,Table1[#Headers],0)), M$11,
    Table1[Do you have any experience in creating/designing art?], "&lt;&gt;No experience"
)</f>
        <v>16</v>
      </c>
      <c r="N13" s="2"/>
      <c r="P13" t="s">
        <v>95</v>
      </c>
      <c r="Q13">
        <f>COUNTIFS(
    INDEX(Table1[],,MATCH($P13,Table1[#Headers],0)), Q$11,
    Table1[Do you have any experience in creating/designing art?], "No experience"
)</f>
        <v>9</v>
      </c>
      <c r="R13">
        <f>COUNTIFS(
    INDEX(Table1[],,MATCH($P13,Table1[#Headers],0)), R$11,
    Table1[Do you have any experience in creating/designing art?], "No experience"
)</f>
        <v>17</v>
      </c>
      <c r="S13">
        <f>COUNTIFS(
    INDEX(Table1[],,MATCH($P13,Table1[#Headers],0)), S$11,
    Table1[Do you have any experience in creating/designing art?], "No experience"
)</f>
        <v>3</v>
      </c>
      <c r="T13" s="2"/>
      <c r="V13" t="s">
        <v>95</v>
      </c>
      <c r="W13">
        <f>COUNTIFS(
    INDEX(Table1[],,MATCH($V13,Table1[#Headers],0)), W$11,
    Table1[Do you have any experience in creating/designing art?], "&lt;&gt;No experience"
)</f>
        <v>3</v>
      </c>
      <c r="X13">
        <f>COUNTIFS(
    INDEX(Table1[],,MATCH($V13,Table1[#Headers],0)), X$11,
    Table1[Do you have any experience in creating/designing art?], "&lt;&gt;No experience"
)</f>
        <v>15</v>
      </c>
      <c r="Y13">
        <f>COUNTIFS(
    INDEX(Table1[],,MATCH($V13,Table1[#Headers],0)), Y$11,
    Table1[Do you have any experience in creating/designing art?], "&lt;&gt;No experience"
)</f>
        <v>3</v>
      </c>
    </row>
    <row r="14" spans="2:25" x14ac:dyDescent="0.3">
      <c r="B14" s="2" t="s">
        <v>105</v>
      </c>
      <c r="C14">
        <f>COUNTIFS(
    INDEX(Table1[],,MATCH($B14,Table1[#Headers],0)), C$11,
    Table1[Do you have any experience in creating/designing art?], "No experience"
)</f>
        <v>5</v>
      </c>
      <c r="D14">
        <f>COUNTIFS(
    INDEX(Table1[],,MATCH($B14,Table1[#Headers],0)), D$11,
    Table1[Do you have any experience in creating/designing art?], "No experience"
)</f>
        <v>7</v>
      </c>
      <c r="E14">
        <f>COUNTIFS(
    INDEX(Table1[],,MATCH($B14,Table1[#Headers],0)), E$11,
    Table1[Do you have any experience in creating/designing art?], "No experience"
)</f>
        <v>9</v>
      </c>
      <c r="F14">
        <f>COUNTIFS(
    INDEX(Table1[],,MATCH($B14,Table1[#Headers],0)), F$11,
    Table1[Do you have any experience in creating/designing art?], "No experience"
)</f>
        <v>8</v>
      </c>
      <c r="G14" s="2"/>
      <c r="H14" s="2"/>
      <c r="I14" s="2" t="s">
        <v>105</v>
      </c>
      <c r="J14">
        <f>COUNTIFS(
    INDEX(Table1[],,MATCH($I14,Table1[#Headers],0)), J$11,
    Table1[Do you have any experience in creating/designing art?], "&lt;&gt;No experience"
)</f>
        <v>5</v>
      </c>
      <c r="K14">
        <f>COUNTIFS(
    INDEX(Table1[],,MATCH($I14,Table1[#Headers],0)), K$11,
    Table1[Do you have any experience in creating/designing art?], "&lt;&gt;No experience"
)</f>
        <v>8</v>
      </c>
      <c r="L14">
        <f>COUNTIFS(
    INDEX(Table1[],,MATCH($I14,Table1[#Headers],0)), L$11,
    Table1[Do you have any experience in creating/designing art?], "&lt;&gt;No experience"
)</f>
        <v>4</v>
      </c>
      <c r="M14">
        <f>COUNTIFS(
    INDEX(Table1[],,MATCH($I14,Table1[#Headers],0)), M$11,
    Table1[Do you have any experience in creating/designing art?], "&lt;&gt;No experience"
)</f>
        <v>4</v>
      </c>
      <c r="N14" s="2"/>
      <c r="P14" t="s">
        <v>115</v>
      </c>
      <c r="Q14">
        <f>COUNTIFS(
    INDEX(Table1[],,MATCH($P14,Table1[#Headers],0)), Q$11,
    Table1[Do you have any experience in creating/designing art?], "No experience"
)</f>
        <v>17</v>
      </c>
      <c r="R14">
        <f>COUNTIFS(
    INDEX(Table1[],,MATCH($P14,Table1[#Headers],0)), R$11,
    Table1[Do you have any experience in creating/designing art?], "No experience"
)</f>
        <v>8</v>
      </c>
      <c r="S14">
        <f>COUNTIFS(
    INDEX(Table1[],,MATCH($P14,Table1[#Headers],0)), S$11,
    Table1[Do you have any experience in creating/designing art?], "No experience"
)</f>
        <v>4</v>
      </c>
      <c r="T14" s="2"/>
      <c r="V14" t="s">
        <v>115</v>
      </c>
      <c r="W14">
        <f>COUNTIFS(
    INDEX(Table1[],,MATCH($V14,Table1[#Headers],0)), W$11,
    Table1[Do you have any experience in creating/designing art?], "&lt;&gt;No experience"
)</f>
        <v>15</v>
      </c>
      <c r="X14">
        <f>COUNTIFS(
    INDEX(Table1[],,MATCH($V14,Table1[#Headers],0)), X$11,
    Table1[Do you have any experience in creating/designing art?], "&lt;&gt;No experience"
)</f>
        <v>3</v>
      </c>
      <c r="Y14">
        <f>COUNTIFS(
    INDEX(Table1[],,MATCH($V14,Table1[#Headers],0)), Y$11,
    Table1[Do you have any experience in creating/designing art?], "&lt;&gt;No experience"
)</f>
        <v>3</v>
      </c>
    </row>
    <row r="15" spans="2:25" x14ac:dyDescent="0.3">
      <c r="B15" s="2" t="s">
        <v>125</v>
      </c>
      <c r="C15">
        <f>COUNTIFS(
    INDEX(Table1[],,MATCH($B15,Table1[#Headers],0)), C$11,
    Table1[Do you have any experience in creating/designing art?], "No experience"
)</f>
        <v>10</v>
      </c>
      <c r="D15">
        <f>COUNTIFS(
    INDEX(Table1[],,MATCH($B15,Table1[#Headers],0)), D$11,
    Table1[Do you have any experience in creating/designing art?], "No experience"
)</f>
        <v>11</v>
      </c>
      <c r="E15">
        <f>COUNTIFS(
    INDEX(Table1[],,MATCH($B15,Table1[#Headers],0)), E$11,
    Table1[Do you have any experience in creating/designing art?], "No experience"
)</f>
        <v>6</v>
      </c>
      <c r="F15">
        <f>COUNTIFS(
    INDEX(Table1[],,MATCH($B15,Table1[#Headers],0)), F$11,
    Table1[Do you have any experience in creating/designing art?], "No experience"
)</f>
        <v>2</v>
      </c>
      <c r="G15" s="2"/>
      <c r="H15" s="2"/>
      <c r="I15" s="2" t="s">
        <v>125</v>
      </c>
      <c r="J15">
        <f>COUNTIFS(
    INDEX(Table1[],,MATCH($I15,Table1[#Headers],0)), J$11,
    Table1[Do you have any experience in creating/designing art?], "&lt;&gt;No experience"
)</f>
        <v>5</v>
      </c>
      <c r="K15">
        <f>COUNTIFS(
    INDEX(Table1[],,MATCH($I15,Table1[#Headers],0)), K$11,
    Table1[Do you have any experience in creating/designing art?], "&lt;&gt;No experience"
)</f>
        <v>3</v>
      </c>
      <c r="L15">
        <f>COUNTIFS(
    INDEX(Table1[],,MATCH($I15,Table1[#Headers],0)), L$11,
    Table1[Do you have any experience in creating/designing art?], "&lt;&gt;No experience"
)</f>
        <v>9</v>
      </c>
      <c r="M15">
        <f>COUNTIFS(
    INDEX(Table1[],,MATCH($I15,Table1[#Headers],0)), M$11,
    Table1[Do you have any experience in creating/designing art?], "&lt;&gt;No experience"
)</f>
        <v>4</v>
      </c>
      <c r="N15" s="2"/>
      <c r="P15" t="s">
        <v>76</v>
      </c>
      <c r="Q15">
        <f>COUNTIFS(
    INDEX(Table1[],,MATCH($P15,Table1[#Headers],0)), Q$11,
    Table1[Do you have any experience in creating/designing art?], "No experience"
)</f>
        <v>4</v>
      </c>
      <c r="R15">
        <f>COUNTIFS(
    INDEX(Table1[],,MATCH($P15,Table1[#Headers],0)), R$11,
    Table1[Do you have any experience in creating/designing art?], "No experience"
)</f>
        <v>8</v>
      </c>
      <c r="S15">
        <f>COUNTIFS(
    INDEX(Table1[],,MATCH($P15,Table1[#Headers],0)), S$11,
    Table1[Do you have any experience in creating/designing art?], "No experience"
)</f>
        <v>17</v>
      </c>
      <c r="T15" s="2"/>
      <c r="V15" t="s">
        <v>76</v>
      </c>
      <c r="W15">
        <f>COUNTIFS(
    INDEX(Table1[],,MATCH($V15,Table1[#Headers],0)), W$11,
    Table1[Do you have any experience in creating/designing art?], "&lt;&gt;No experience"
)</f>
        <v>6</v>
      </c>
      <c r="X15">
        <f>COUNTIFS(
    INDEX(Table1[],,MATCH($V15,Table1[#Headers],0)), X$11,
    Table1[Do you have any experience in creating/designing art?], "&lt;&gt;No experience"
)</f>
        <v>6</v>
      </c>
      <c r="Y15">
        <f>COUNTIFS(
    INDEX(Table1[],,MATCH($V15,Table1[#Headers],0)), Y$11,
    Table1[Do you have any experience in creating/designing art?], "&lt;&gt;No experience"
)</f>
        <v>9</v>
      </c>
    </row>
    <row r="16" spans="2:25" x14ac:dyDescent="0.3">
      <c r="B16" s="2" t="s">
        <v>67</v>
      </c>
      <c r="C16">
        <f>COUNTIFS(
    INDEX(Table1[],,MATCH($B16,Table1[#Headers],0)), C$11,
    Table1[Do you have any experience in creating/designing art?], "No experience"
)</f>
        <v>5</v>
      </c>
      <c r="D16">
        <f>COUNTIFS(
    INDEX(Table1[],,MATCH($B16,Table1[#Headers],0)), D$11,
    Table1[Do you have any experience in creating/designing art?], "No experience"
)</f>
        <v>6</v>
      </c>
      <c r="E16">
        <f>COUNTIFS(
    INDEX(Table1[],,MATCH($B16,Table1[#Headers],0)), E$11,
    Table1[Do you have any experience in creating/designing art?], "No experience"
)</f>
        <v>6</v>
      </c>
      <c r="F16">
        <f>COUNTIFS(
    INDEX(Table1[],,MATCH($B16,Table1[#Headers],0)), F$11,
    Table1[Do you have any experience in creating/designing art?], "No experience"
)</f>
        <v>12</v>
      </c>
      <c r="G16" s="2"/>
      <c r="H16" s="2"/>
      <c r="I16" s="2" t="s">
        <v>67</v>
      </c>
      <c r="J16">
        <f>COUNTIFS(
    INDEX(Table1[],,MATCH($I16,Table1[#Headers],0)), J$11,
    Table1[Do you have any experience in creating/designing art?], "&lt;&gt;No experience"
)</f>
        <v>4</v>
      </c>
      <c r="K16">
        <f>COUNTIFS(
    INDEX(Table1[],,MATCH($I16,Table1[#Headers],0)), K$11,
    Table1[Do you have any experience in creating/designing art?], "&lt;&gt;No experience"
)</f>
        <v>5</v>
      </c>
      <c r="L16">
        <f>COUNTIFS(
    INDEX(Table1[],,MATCH($I16,Table1[#Headers],0)), L$11,
    Table1[Do you have any experience in creating/designing art?], "&lt;&gt;No experience"
)</f>
        <v>5</v>
      </c>
      <c r="M16">
        <f>COUNTIFS(
    INDEX(Table1[],,MATCH($I16,Table1[#Headers],0)), M$11,
    Table1[Do you have any experience in creating/designing art?], "&lt;&gt;No experience"
)</f>
        <v>7</v>
      </c>
      <c r="N16" s="2"/>
      <c r="P16" t="s">
        <v>96</v>
      </c>
      <c r="Q16">
        <f>COUNTIFS(
    INDEX(Table1[],,MATCH($P16,Table1[#Headers],0)), Q$11,
    Table1[Do you have any experience in creating/designing art?], "No experience"
)</f>
        <v>7</v>
      </c>
      <c r="R16">
        <f>COUNTIFS(
    INDEX(Table1[],,MATCH($P16,Table1[#Headers],0)), R$11,
    Table1[Do you have any experience in creating/designing art?], "No experience"
)</f>
        <v>16</v>
      </c>
      <c r="S16">
        <f>COUNTIFS(
    INDEX(Table1[],,MATCH($P16,Table1[#Headers],0)), S$11,
    Table1[Do you have any experience in creating/designing art?], "No experience"
)</f>
        <v>6</v>
      </c>
      <c r="T16" s="2"/>
      <c r="V16" t="s">
        <v>96</v>
      </c>
      <c r="W16">
        <f>COUNTIFS(
    INDEX(Table1[],,MATCH($V16,Table1[#Headers],0)), W$11,
    Table1[Do you have any experience in creating/designing art?], "&lt;&gt;No experience"
)</f>
        <v>2</v>
      </c>
      <c r="X16">
        <f>COUNTIFS(
    INDEX(Table1[],,MATCH($V16,Table1[#Headers],0)), X$11,
    Table1[Do you have any experience in creating/designing art?], "&lt;&gt;No experience"
)</f>
        <v>11</v>
      </c>
      <c r="Y16">
        <f>COUNTIFS(
    INDEX(Table1[],,MATCH($V16,Table1[#Headers],0)), Y$11,
    Table1[Do you have any experience in creating/designing art?], "&lt;&gt;No experience"
)</f>
        <v>8</v>
      </c>
    </row>
    <row r="17" spans="2:25" x14ac:dyDescent="0.3">
      <c r="B17" s="2" t="s">
        <v>87</v>
      </c>
      <c r="C17">
        <f>COUNTIFS(
    INDEX(Table1[],,MATCH($B17,Table1[#Headers],0)), C$11,
    Table1[Do you have any experience in creating/designing art?], "No experience"
)</f>
        <v>6</v>
      </c>
      <c r="D17">
        <f>COUNTIFS(
    INDEX(Table1[],,MATCH($B17,Table1[#Headers],0)), D$11,
    Table1[Do you have any experience in creating/designing art?], "No experience"
)</f>
        <v>11</v>
      </c>
      <c r="E17">
        <f>COUNTIFS(
    INDEX(Table1[],,MATCH($B17,Table1[#Headers],0)), E$11,
    Table1[Do you have any experience in creating/designing art?], "No experience"
)</f>
        <v>8</v>
      </c>
      <c r="F17">
        <f>COUNTIFS(
    INDEX(Table1[],,MATCH($B17,Table1[#Headers],0)), F$11,
    Table1[Do you have any experience in creating/designing art?], "No experience"
)</f>
        <v>4</v>
      </c>
      <c r="G17" s="2"/>
      <c r="H17" s="2"/>
      <c r="I17" s="2" t="s">
        <v>87</v>
      </c>
      <c r="J17">
        <f>COUNTIFS(
    INDEX(Table1[],,MATCH($I17,Table1[#Headers],0)), J$11,
    Table1[Do you have any experience in creating/designing art?], "&lt;&gt;No experience"
)</f>
        <v>2</v>
      </c>
      <c r="K17">
        <f>COUNTIFS(
    INDEX(Table1[],,MATCH($I17,Table1[#Headers],0)), K$11,
    Table1[Do you have any experience in creating/designing art?], "&lt;&gt;No experience"
)</f>
        <v>7</v>
      </c>
      <c r="L17">
        <f>COUNTIFS(
    INDEX(Table1[],,MATCH($I17,Table1[#Headers],0)), L$11,
    Table1[Do you have any experience in creating/designing art?], "&lt;&gt;No experience"
)</f>
        <v>5</v>
      </c>
      <c r="M17">
        <f>COUNTIFS(
    INDEX(Table1[],,MATCH($I17,Table1[#Headers],0)), M$11,
    Table1[Do you have any experience in creating/designing art?], "&lt;&gt;No experience"
)</f>
        <v>7</v>
      </c>
      <c r="N17" s="2"/>
      <c r="P17" t="s">
        <v>116</v>
      </c>
      <c r="Q17">
        <f>COUNTIFS(
    INDEX(Table1[],,MATCH($P17,Table1[#Headers],0)), Q$11,
    Table1[Do you have any experience in creating/designing art?], "No experience"
)</f>
        <v>18</v>
      </c>
      <c r="R17">
        <f>COUNTIFS(
    INDEX(Table1[],,MATCH($P17,Table1[#Headers],0)), R$11,
    Table1[Do you have any experience in creating/designing art?], "No experience"
)</f>
        <v>5</v>
      </c>
      <c r="S17">
        <f>COUNTIFS(
    INDEX(Table1[],,MATCH($P17,Table1[#Headers],0)), S$11,
    Table1[Do you have any experience in creating/designing art?], "No experience"
)</f>
        <v>6</v>
      </c>
      <c r="T17" s="2"/>
      <c r="V17" t="s">
        <v>116</v>
      </c>
      <c r="W17">
        <f>COUNTIFS(
    INDEX(Table1[],,MATCH($V17,Table1[#Headers],0)), W$11,
    Table1[Do you have any experience in creating/designing art?], "&lt;&gt;No experience"
)</f>
        <v>11</v>
      </c>
      <c r="X17">
        <f>COUNTIFS(
    INDEX(Table1[],,MATCH($V17,Table1[#Headers],0)), X$11,
    Table1[Do you have any experience in creating/designing art?], "&lt;&gt;No experience"
)</f>
        <v>4</v>
      </c>
      <c r="Y17">
        <f>COUNTIFS(
    INDEX(Table1[],,MATCH($V17,Table1[#Headers],0)), Y$11,
    Table1[Do you have any experience in creating/designing art?], "&lt;&gt;No experience"
)</f>
        <v>6</v>
      </c>
    </row>
    <row r="18" spans="2:25" x14ac:dyDescent="0.3">
      <c r="B18" s="2" t="s">
        <v>107</v>
      </c>
      <c r="C18">
        <f>COUNTIFS(
    INDEX(Table1[],,MATCH($B18,Table1[#Headers],0)), C$11,
    Table1[Do you have any experience in creating/designing art?], "No experience"
)</f>
        <v>5</v>
      </c>
      <c r="D18">
        <f>COUNTIFS(
    INDEX(Table1[],,MATCH($B18,Table1[#Headers],0)), D$11,
    Table1[Do you have any experience in creating/designing art?], "No experience"
)</f>
        <v>6</v>
      </c>
      <c r="E18">
        <f>COUNTIFS(
    INDEX(Table1[],,MATCH($B18,Table1[#Headers],0)), E$11,
    Table1[Do you have any experience in creating/designing art?], "No experience"
)</f>
        <v>10</v>
      </c>
      <c r="F18">
        <f>COUNTIFS(
    INDEX(Table1[],,MATCH($B18,Table1[#Headers],0)), F$11,
    Table1[Do you have any experience in creating/designing art?], "No experience"
)</f>
        <v>8</v>
      </c>
      <c r="G18" s="2"/>
      <c r="H18" s="2"/>
      <c r="I18" s="2" t="s">
        <v>107</v>
      </c>
      <c r="J18">
        <f>COUNTIFS(
    INDEX(Table1[],,MATCH($I18,Table1[#Headers],0)), J$11,
    Table1[Do you have any experience in creating/designing art?], "&lt;&gt;No experience"
)</f>
        <v>7</v>
      </c>
      <c r="K18">
        <f>COUNTIFS(
    INDEX(Table1[],,MATCH($I18,Table1[#Headers],0)), K$11,
    Table1[Do you have any experience in creating/designing art?], "&lt;&gt;No experience"
)</f>
        <v>5</v>
      </c>
      <c r="L18">
        <f>COUNTIFS(
    INDEX(Table1[],,MATCH($I18,Table1[#Headers],0)), L$11,
    Table1[Do you have any experience in creating/designing art?], "&lt;&gt;No experience"
)</f>
        <v>6</v>
      </c>
      <c r="M18">
        <f>COUNTIFS(
    INDEX(Table1[],,MATCH($I18,Table1[#Headers],0)), M$11,
    Table1[Do you have any experience in creating/designing art?], "&lt;&gt;No experience"
)</f>
        <v>3</v>
      </c>
      <c r="N18" s="2"/>
      <c r="P18" t="s">
        <v>77</v>
      </c>
      <c r="Q18">
        <f>COUNTIFS(
    INDEX(Table1[],,MATCH($P18,Table1[#Headers],0)), Q$11,
    Table1[Do you have any experience in creating/designing art?], "No experience"
)</f>
        <v>7</v>
      </c>
      <c r="R18">
        <f>COUNTIFS(
    INDEX(Table1[],,MATCH($P18,Table1[#Headers],0)), R$11,
    Table1[Do you have any experience in creating/designing art?], "No experience"
)</f>
        <v>16</v>
      </c>
      <c r="S18">
        <f>COUNTIFS(
    INDEX(Table1[],,MATCH($P18,Table1[#Headers],0)), S$11,
    Table1[Do you have any experience in creating/designing art?], "No experience"
)</f>
        <v>6</v>
      </c>
      <c r="T18" s="2"/>
      <c r="V18" t="s">
        <v>77</v>
      </c>
      <c r="W18">
        <f>COUNTIFS(
    INDEX(Table1[],,MATCH($V18,Table1[#Headers],0)), W$11,
    Table1[Do you have any experience in creating/designing art?], "&lt;&gt;No experience"
)</f>
        <v>5</v>
      </c>
      <c r="X18">
        <f>COUNTIFS(
    INDEX(Table1[],,MATCH($V18,Table1[#Headers],0)), X$11,
    Table1[Do you have any experience in creating/designing art?], "&lt;&gt;No experience"
)</f>
        <v>9</v>
      </c>
      <c r="Y18">
        <f>COUNTIFS(
    INDEX(Table1[],,MATCH($V18,Table1[#Headers],0)), Y$11,
    Table1[Do you have any experience in creating/designing art?], "&lt;&gt;No experience"
)</f>
        <v>7</v>
      </c>
    </row>
    <row r="19" spans="2:25" x14ac:dyDescent="0.3">
      <c r="B19" s="2" t="s">
        <v>127</v>
      </c>
      <c r="C19">
        <f>COUNTIFS(
    INDEX(Table1[],,MATCH($B19,Table1[#Headers],0)), C$11,
    Table1[Do you have any experience in creating/designing art?], "No experience"
)</f>
        <v>14</v>
      </c>
      <c r="D19">
        <f>COUNTIFS(
    INDEX(Table1[],,MATCH($B19,Table1[#Headers],0)), D$11,
    Table1[Do you have any experience in creating/designing art?], "No experience"
)</f>
        <v>5</v>
      </c>
      <c r="E19">
        <f>COUNTIFS(
    INDEX(Table1[],,MATCH($B19,Table1[#Headers],0)), E$11,
    Table1[Do you have any experience in creating/designing art?], "No experience"
)</f>
        <v>6</v>
      </c>
      <c r="F19">
        <f>COUNTIFS(
    INDEX(Table1[],,MATCH($B19,Table1[#Headers],0)), F$11,
    Table1[Do you have any experience in creating/designing art?], "No experience"
)</f>
        <v>4</v>
      </c>
      <c r="G19" s="2"/>
      <c r="H19" s="2"/>
      <c r="I19" s="2" t="s">
        <v>127</v>
      </c>
      <c r="J19">
        <f>COUNTIFS(
    INDEX(Table1[],,MATCH($I19,Table1[#Headers],0)), J$11,
    Table1[Do you have any experience in creating/designing art?], "&lt;&gt;No experience"
)</f>
        <v>8</v>
      </c>
      <c r="K19">
        <f>COUNTIFS(
    INDEX(Table1[],,MATCH($I19,Table1[#Headers],0)), K$11,
    Table1[Do you have any experience in creating/designing art?], "&lt;&gt;No experience"
)</f>
        <v>4</v>
      </c>
      <c r="L19">
        <f>COUNTIFS(
    INDEX(Table1[],,MATCH($I19,Table1[#Headers],0)), L$11,
    Table1[Do you have any experience in creating/designing art?], "&lt;&gt;No experience"
)</f>
        <v>5</v>
      </c>
      <c r="M19">
        <f>COUNTIFS(
    INDEX(Table1[],,MATCH($I19,Table1[#Headers],0)), M$11,
    Table1[Do you have any experience in creating/designing art?], "&lt;&gt;No experience"
)</f>
        <v>4</v>
      </c>
      <c r="N19" s="2"/>
      <c r="P19" t="s">
        <v>97</v>
      </c>
      <c r="Q19">
        <f>COUNTIFS(
    INDEX(Table1[],,MATCH($P19,Table1[#Headers],0)), Q$11,
    Table1[Do you have any experience in creating/designing art?], "No experience"
)</f>
        <v>18</v>
      </c>
      <c r="R19">
        <f>COUNTIFS(
    INDEX(Table1[],,MATCH($P19,Table1[#Headers],0)), R$11,
    Table1[Do you have any experience in creating/designing art?], "No experience"
)</f>
        <v>2</v>
      </c>
      <c r="S19">
        <f>COUNTIFS(
    INDEX(Table1[],,MATCH($P19,Table1[#Headers],0)), S$11,
    Table1[Do you have any experience in creating/designing art?], "No experience"
)</f>
        <v>9</v>
      </c>
      <c r="T19" s="2"/>
      <c r="V19" t="s">
        <v>97</v>
      </c>
      <c r="W19">
        <f>COUNTIFS(
    INDEX(Table1[],,MATCH($V19,Table1[#Headers],0)), W$11,
    Table1[Do you have any experience in creating/designing art?], "&lt;&gt;No experience"
)</f>
        <v>12</v>
      </c>
      <c r="X19">
        <f>COUNTIFS(
    INDEX(Table1[],,MATCH($V19,Table1[#Headers],0)), X$11,
    Table1[Do you have any experience in creating/designing art?], "&lt;&gt;No experience"
)</f>
        <v>5</v>
      </c>
      <c r="Y19">
        <f>COUNTIFS(
    INDEX(Table1[],,MATCH($V19,Table1[#Headers],0)), Y$11,
    Table1[Do you have any experience in creating/designing art?], "&lt;&gt;No experience"
)</f>
        <v>4</v>
      </c>
    </row>
    <row r="20" spans="2:25" x14ac:dyDescent="0.3">
      <c r="B20" s="2" t="s">
        <v>69</v>
      </c>
      <c r="C20">
        <f>COUNTIFS(
    INDEX(Table1[],,MATCH($B20,Table1[#Headers],0)), C$11,
    Table1[Do you have any experience in creating/designing art?], "No experience"
)</f>
        <v>21</v>
      </c>
      <c r="D20">
        <f>COUNTIFS(
    INDEX(Table1[],,MATCH($B20,Table1[#Headers],0)), D$11,
    Table1[Do you have any experience in creating/designing art?], "No experience"
)</f>
        <v>3</v>
      </c>
      <c r="E20">
        <f>COUNTIFS(
    INDEX(Table1[],,MATCH($B20,Table1[#Headers],0)), E$11,
    Table1[Do you have any experience in creating/designing art?], "No experience"
)</f>
        <v>4</v>
      </c>
      <c r="F20">
        <f>COUNTIFS(
    INDEX(Table1[],,MATCH($B20,Table1[#Headers],0)), F$11,
    Table1[Do you have any experience in creating/designing art?], "No experience"
)</f>
        <v>1</v>
      </c>
      <c r="G20" s="2"/>
      <c r="H20" s="2"/>
      <c r="I20" s="2" t="s">
        <v>69</v>
      </c>
      <c r="J20">
        <f>COUNTIFS(
    INDEX(Table1[],,MATCH($I20,Table1[#Headers],0)), J$11,
    Table1[Do you have any experience in creating/designing art?], "&lt;&gt;No experience"
)</f>
        <v>18</v>
      </c>
      <c r="K20">
        <f>COUNTIFS(
    INDEX(Table1[],,MATCH($I20,Table1[#Headers],0)), K$11,
    Table1[Do you have any experience in creating/designing art?], "&lt;&gt;No experience"
)</f>
        <v>1</v>
      </c>
      <c r="L20">
        <f>COUNTIFS(
    INDEX(Table1[],,MATCH($I20,Table1[#Headers],0)), L$11,
    Table1[Do you have any experience in creating/designing art?], "&lt;&gt;No experience"
)</f>
        <v>2</v>
      </c>
      <c r="M20">
        <f>COUNTIFS(
    INDEX(Table1[],,MATCH($I20,Table1[#Headers],0)), M$11,
    Table1[Do you have any experience in creating/designing art?], "&lt;&gt;No experience"
)</f>
        <v>0</v>
      </c>
      <c r="N20" s="2"/>
      <c r="P20" t="s">
        <v>117</v>
      </c>
      <c r="Q20">
        <f>COUNTIFS(
    INDEX(Table1[],,MATCH($P20,Table1[#Headers],0)), Q$11,
    Table1[Do you have any experience in creating/designing art?], "No experience"
)</f>
        <v>6</v>
      </c>
      <c r="R20">
        <f>COUNTIFS(
    INDEX(Table1[],,MATCH($P20,Table1[#Headers],0)), R$11,
    Table1[Do you have any experience in creating/designing art?], "No experience"
)</f>
        <v>10</v>
      </c>
      <c r="S20">
        <f>COUNTIFS(
    INDEX(Table1[],,MATCH($P20,Table1[#Headers],0)), S$11,
    Table1[Do you have any experience in creating/designing art?], "No experience"
)</f>
        <v>13</v>
      </c>
      <c r="T20" s="2"/>
      <c r="V20" t="s">
        <v>117</v>
      </c>
      <c r="W20">
        <f>COUNTIFS(
    INDEX(Table1[],,MATCH($V20,Table1[#Headers],0)), W$11,
    Table1[Do you have any experience in creating/designing art?], "&lt;&gt;No experience"
)</f>
        <v>3</v>
      </c>
      <c r="X20">
        <f>COUNTIFS(
    INDEX(Table1[],,MATCH($V20,Table1[#Headers],0)), X$11,
    Table1[Do you have any experience in creating/designing art?], "&lt;&gt;No experience"
)</f>
        <v>10</v>
      </c>
      <c r="Y20">
        <f>COUNTIFS(
    INDEX(Table1[],,MATCH($V20,Table1[#Headers],0)), Y$11,
    Table1[Do you have any experience in creating/designing art?], "&lt;&gt;No experience"
)</f>
        <v>8</v>
      </c>
    </row>
    <row r="21" spans="2:25" x14ac:dyDescent="0.3">
      <c r="B21" s="2" t="s">
        <v>89</v>
      </c>
      <c r="C21">
        <f>COUNTIFS(
    INDEX(Table1[],,MATCH($B21,Table1[#Headers],0)), C$11,
    Table1[Do you have any experience in creating/designing art?], "No experience"
)</f>
        <v>3</v>
      </c>
      <c r="D21">
        <f>COUNTIFS(
    INDEX(Table1[],,MATCH($B21,Table1[#Headers],0)), D$11,
    Table1[Do you have any experience in creating/designing art?], "No experience"
)</f>
        <v>3</v>
      </c>
      <c r="E21">
        <f>COUNTIFS(
    INDEX(Table1[],,MATCH($B21,Table1[#Headers],0)), E$11,
    Table1[Do you have any experience in creating/designing art?], "No experience"
)</f>
        <v>5</v>
      </c>
      <c r="F21">
        <f>COUNTIFS(
    INDEX(Table1[],,MATCH($B21,Table1[#Headers],0)), F$11,
    Table1[Do you have any experience in creating/designing art?], "No experience"
)</f>
        <v>18</v>
      </c>
      <c r="G21" s="2"/>
      <c r="H21" s="2"/>
      <c r="I21" s="2" t="s">
        <v>89</v>
      </c>
      <c r="J21">
        <f>COUNTIFS(
    INDEX(Table1[],,MATCH($I21,Table1[#Headers],0)), J$11,
    Table1[Do you have any experience in creating/designing art?], "&lt;&gt;No experience"
)</f>
        <v>2</v>
      </c>
      <c r="K21">
        <f>COUNTIFS(
    INDEX(Table1[],,MATCH($I21,Table1[#Headers],0)), K$11,
    Table1[Do you have any experience in creating/designing art?], "&lt;&gt;No experience"
)</f>
        <v>2</v>
      </c>
      <c r="L21">
        <f>COUNTIFS(
    INDEX(Table1[],,MATCH($I21,Table1[#Headers],0)), L$11,
    Table1[Do you have any experience in creating/designing art?], "&lt;&gt;No experience"
)</f>
        <v>3</v>
      </c>
      <c r="M21">
        <f>COUNTIFS(
    INDEX(Table1[],,MATCH($I21,Table1[#Headers],0)), M$11,
    Table1[Do you have any experience in creating/designing art?], "&lt;&gt;No experience"
)</f>
        <v>14</v>
      </c>
      <c r="N21" s="2"/>
      <c r="P21" t="s">
        <v>78</v>
      </c>
      <c r="Q21">
        <f>COUNTIFS(
    INDEX(Table1[],,MATCH($P21,Table1[#Headers],0)), Q$11,
    Table1[Do you have any experience in creating/designing art?], "No experience"
)</f>
        <v>20</v>
      </c>
      <c r="R21">
        <f>COUNTIFS(
    INDEX(Table1[],,MATCH($P21,Table1[#Headers],0)), R$11,
    Table1[Do you have any experience in creating/designing art?], "No experience"
)</f>
        <v>4</v>
      </c>
      <c r="S21">
        <f>COUNTIFS(
    INDEX(Table1[],,MATCH($P21,Table1[#Headers],0)), S$11,
    Table1[Do you have any experience in creating/designing art?], "No experience"
)</f>
        <v>5</v>
      </c>
      <c r="T21" s="2"/>
      <c r="V21" t="s">
        <v>78</v>
      </c>
      <c r="W21">
        <f>COUNTIFS(
    INDEX(Table1[],,MATCH($V21,Table1[#Headers],0)), W$11,
    Table1[Do you have any experience in creating/designing art?], "&lt;&gt;No experience"
)</f>
        <v>15</v>
      </c>
      <c r="X21">
        <f>COUNTIFS(
    INDEX(Table1[],,MATCH($V21,Table1[#Headers],0)), X$11,
    Table1[Do you have any experience in creating/designing art?], "&lt;&gt;No experience"
)</f>
        <v>4</v>
      </c>
      <c r="Y21">
        <f>COUNTIFS(
    INDEX(Table1[],,MATCH($V21,Table1[#Headers],0)), Y$11,
    Table1[Do you have any experience in creating/designing art?], "&lt;&gt;No experience"
)</f>
        <v>2</v>
      </c>
    </row>
    <row r="22" spans="2:25" x14ac:dyDescent="0.3">
      <c r="B22" s="2" t="s">
        <v>109</v>
      </c>
      <c r="C22">
        <f>COUNTIFS(
    INDEX(Table1[],,MATCH($B22,Table1[#Headers],0)), C$11,
    Table1[Do you have any experience in creating/designing art?], "No experience"
)</f>
        <v>3</v>
      </c>
      <c r="D22">
        <f>COUNTIFS(
    INDEX(Table1[],,MATCH($B22,Table1[#Headers],0)), D$11,
    Table1[Do you have any experience in creating/designing art?], "No experience"
)</f>
        <v>18</v>
      </c>
      <c r="E22">
        <f>COUNTIFS(
    INDEX(Table1[],,MATCH($B22,Table1[#Headers],0)), E$11,
    Table1[Do you have any experience in creating/designing art?], "No experience"
)</f>
        <v>6</v>
      </c>
      <c r="F22">
        <f>COUNTIFS(
    INDEX(Table1[],,MATCH($B22,Table1[#Headers],0)), F$11,
    Table1[Do you have any experience in creating/designing art?], "No experience"
)</f>
        <v>2</v>
      </c>
      <c r="G22" s="2"/>
      <c r="H22" s="2"/>
      <c r="I22" s="2" t="s">
        <v>109</v>
      </c>
      <c r="J22">
        <f>COUNTIFS(
    INDEX(Table1[],,MATCH($I22,Table1[#Headers],0)), J$11,
    Table1[Do you have any experience in creating/designing art?], "&lt;&gt;No experience"
)</f>
        <v>2</v>
      </c>
      <c r="K22">
        <f>COUNTIFS(
    INDEX(Table1[],,MATCH($I22,Table1[#Headers],0)), K$11,
    Table1[Do you have any experience in creating/designing art?], "&lt;&gt;No experience"
)</f>
        <v>13</v>
      </c>
      <c r="L22">
        <f>COUNTIFS(
    INDEX(Table1[],,MATCH($I22,Table1[#Headers],0)), L$11,
    Table1[Do you have any experience in creating/designing art?], "&lt;&gt;No experience"
)</f>
        <v>2</v>
      </c>
      <c r="M22">
        <f>COUNTIFS(
    INDEX(Table1[],,MATCH($I22,Table1[#Headers],0)), M$11,
    Table1[Do you have any experience in creating/designing art?], "&lt;&gt;No experience"
)</f>
        <v>4</v>
      </c>
      <c r="N22" s="2"/>
      <c r="P22" t="s">
        <v>98</v>
      </c>
      <c r="Q22">
        <f>COUNTIFS(
    INDEX(Table1[],,MATCH($P22,Table1[#Headers],0)), Q$11,
    Table1[Do you have any experience in creating/designing art?], "No experience"
)</f>
        <v>5</v>
      </c>
      <c r="R22">
        <f>COUNTIFS(
    INDEX(Table1[],,MATCH($P22,Table1[#Headers],0)), R$11,
    Table1[Do you have any experience in creating/designing art?], "No experience"
)</f>
        <v>22</v>
      </c>
      <c r="S22">
        <f>COUNTIFS(
    INDEX(Table1[],,MATCH($P22,Table1[#Headers],0)), S$11,
    Table1[Do you have any experience in creating/designing art?], "No experience"
)</f>
        <v>2</v>
      </c>
      <c r="T22" s="2"/>
      <c r="V22" t="s">
        <v>98</v>
      </c>
      <c r="W22">
        <f>COUNTIFS(
    INDEX(Table1[],,MATCH($V22,Table1[#Headers],0)), W$11,
    Table1[Do you have any experience in creating/designing art?], "&lt;&gt;No experience"
)</f>
        <v>8</v>
      </c>
      <c r="X22">
        <f>COUNTIFS(
    INDEX(Table1[],,MATCH($V22,Table1[#Headers],0)), X$11,
    Table1[Do you have any experience in creating/designing art?], "&lt;&gt;No experience"
)</f>
        <v>13</v>
      </c>
      <c r="Y22">
        <f>COUNTIFS(
    INDEX(Table1[],,MATCH($V22,Table1[#Headers],0)), Y$11,
    Table1[Do you have any experience in creating/designing art?], "&lt;&gt;No experience"
)</f>
        <v>0</v>
      </c>
    </row>
    <row r="23" spans="2:25" x14ac:dyDescent="0.3">
      <c r="B23" s="2" t="s">
        <v>129</v>
      </c>
      <c r="C23">
        <f>COUNTIFS(
    INDEX(Table1[],,MATCH($B23,Table1[#Headers],0)), C$11,
    Table1[Do you have any experience in creating/designing art?], "No experience"
)</f>
        <v>2</v>
      </c>
      <c r="D23">
        <f>COUNTIFS(
    INDEX(Table1[],,MATCH($B23,Table1[#Headers],0)), D$11,
    Table1[Do you have any experience in creating/designing art?], "No experience"
)</f>
        <v>5</v>
      </c>
      <c r="E23">
        <f>COUNTIFS(
    INDEX(Table1[],,MATCH($B23,Table1[#Headers],0)), E$11,
    Table1[Do you have any experience in creating/designing art?], "No experience"
)</f>
        <v>15</v>
      </c>
      <c r="F23">
        <f>COUNTIFS(
    INDEX(Table1[],,MATCH($B23,Table1[#Headers],0)), F$11,
    Table1[Do you have any experience in creating/designing art?], "No experience"
)</f>
        <v>7</v>
      </c>
      <c r="G23" s="2"/>
      <c r="H23" s="2"/>
      <c r="I23" s="2" t="s">
        <v>129</v>
      </c>
      <c r="J23">
        <f>COUNTIFS(
    INDEX(Table1[],,MATCH($I23,Table1[#Headers],0)), J$11,
    Table1[Do you have any experience in creating/designing art?], "&lt;&gt;No experience"
)</f>
        <v>2</v>
      </c>
      <c r="K23">
        <f>COUNTIFS(
    INDEX(Table1[],,MATCH($I23,Table1[#Headers],0)), K$11,
    Table1[Do you have any experience in creating/designing art?], "&lt;&gt;No experience"
)</f>
        <v>4</v>
      </c>
      <c r="L23">
        <f>COUNTIFS(
    INDEX(Table1[],,MATCH($I23,Table1[#Headers],0)), L$11,
    Table1[Do you have any experience in creating/designing art?], "&lt;&gt;No experience"
)</f>
        <v>12</v>
      </c>
      <c r="M23">
        <f>COUNTIFS(
    INDEX(Table1[],,MATCH($I23,Table1[#Headers],0)), M$11,
    Table1[Do you have any experience in creating/designing art?], "&lt;&gt;No experience"
)</f>
        <v>3</v>
      </c>
      <c r="N23" s="2"/>
      <c r="P23" t="s">
        <v>118</v>
      </c>
      <c r="Q23">
        <f>COUNTIFS(
    INDEX(Table1[],,MATCH($P23,Table1[#Headers],0)), Q$11,
    Table1[Do you have any experience in creating/designing art?], "No experience"
)</f>
        <v>6</v>
      </c>
      <c r="R23">
        <f>COUNTIFS(
    INDEX(Table1[],,MATCH($P23,Table1[#Headers],0)), R$11,
    Table1[Do you have any experience in creating/designing art?], "No experience"
)</f>
        <v>2</v>
      </c>
      <c r="S23">
        <f>COUNTIFS(
    INDEX(Table1[],,MATCH($P23,Table1[#Headers],0)), S$11,
    Table1[Do you have any experience in creating/designing art?], "No experience"
)</f>
        <v>21</v>
      </c>
      <c r="T23" s="2"/>
      <c r="V23" t="s">
        <v>118</v>
      </c>
      <c r="W23">
        <f>COUNTIFS(
    INDEX(Table1[],,MATCH($V23,Table1[#Headers],0)), W$11,
    Table1[Do you have any experience in creating/designing art?], "&lt;&gt;No experience"
)</f>
        <v>1</v>
      </c>
      <c r="X23">
        <f>COUNTIFS(
    INDEX(Table1[],,MATCH($V23,Table1[#Headers],0)), X$11,
    Table1[Do you have any experience in creating/designing art?], "&lt;&gt;No experience"
)</f>
        <v>3</v>
      </c>
      <c r="Y23">
        <f>COUNTIFS(
    INDEX(Table1[],,MATCH($V23,Table1[#Headers],0)), Y$11,
    Table1[Do you have any experience in creating/designing art?], "&lt;&gt;No experience"
)</f>
        <v>17</v>
      </c>
    </row>
    <row r="24" spans="2:25" x14ac:dyDescent="0.3">
      <c r="B24" s="2" t="s">
        <v>71</v>
      </c>
      <c r="C24">
        <f>COUNTIFS(
    INDEX(Table1[],,MATCH($B24,Table1[#Headers],0)), C$11,
    Table1[Do you have any experience in creating/designing art?], "No experience"
)</f>
        <v>12</v>
      </c>
      <c r="D24">
        <f>COUNTIFS(
    INDEX(Table1[],,MATCH($B24,Table1[#Headers],0)), D$11,
    Table1[Do you have any experience in creating/designing art?], "No experience"
)</f>
        <v>9</v>
      </c>
      <c r="E24">
        <f>COUNTIFS(
    INDEX(Table1[],,MATCH($B24,Table1[#Headers],0)), E$11,
    Table1[Do you have any experience in creating/designing art?], "No experience"
)</f>
        <v>4</v>
      </c>
      <c r="F24">
        <f>COUNTIFS(
    INDEX(Table1[],,MATCH($B24,Table1[#Headers],0)), F$11,
    Table1[Do you have any experience in creating/designing art?], "No experience"
)</f>
        <v>4</v>
      </c>
      <c r="G24" s="2"/>
      <c r="H24" s="2"/>
      <c r="I24" s="2" t="s">
        <v>71</v>
      </c>
      <c r="J24">
        <f>COUNTIFS(
    INDEX(Table1[],,MATCH($I24,Table1[#Headers],0)), J$11,
    Table1[Do you have any experience in creating/designing art?], "&lt;&gt;No experience"
)</f>
        <v>9</v>
      </c>
      <c r="K24">
        <f>COUNTIFS(
    INDEX(Table1[],,MATCH($I24,Table1[#Headers],0)), K$11,
    Table1[Do you have any experience in creating/designing art?], "&lt;&gt;No experience"
)</f>
        <v>7</v>
      </c>
      <c r="L24">
        <f>COUNTIFS(
    INDEX(Table1[],,MATCH($I24,Table1[#Headers],0)), L$11,
    Table1[Do you have any experience in creating/designing art?], "&lt;&gt;No experience"
)</f>
        <v>4</v>
      </c>
      <c r="M24">
        <f>COUNTIFS(
    INDEX(Table1[],,MATCH($I24,Table1[#Headers],0)), M$11,
    Table1[Do you have any experience in creating/designing art?], "&lt;&gt;No experience"
)</f>
        <v>1</v>
      </c>
      <c r="N24" s="2"/>
      <c r="P24" t="s">
        <v>79</v>
      </c>
      <c r="Q24">
        <f>COUNTIFS(
    INDEX(Table1[],,MATCH($P24,Table1[#Headers],0)), Q$11,
    Table1[Do you have any experience in creating/designing art?], "No experience"
)</f>
        <v>6</v>
      </c>
      <c r="R24">
        <f>COUNTIFS(
    INDEX(Table1[],,MATCH($P24,Table1[#Headers],0)), R$11,
    Table1[Do you have any experience in creating/designing art?], "No experience"
)</f>
        <v>5</v>
      </c>
      <c r="S24">
        <f>COUNTIFS(
    INDEX(Table1[],,MATCH($P24,Table1[#Headers],0)), S$11,
    Table1[Do you have any experience in creating/designing art?], "No experience"
)</f>
        <v>18</v>
      </c>
      <c r="T24" s="2"/>
      <c r="V24" t="s">
        <v>79</v>
      </c>
      <c r="W24">
        <f>COUNTIFS(
    INDEX(Table1[],,MATCH($V24,Table1[#Headers],0)), W$11,
    Table1[Do you have any experience in creating/designing art?], "&lt;&gt;No experience"
)</f>
        <v>2</v>
      </c>
      <c r="X24">
        <f>COUNTIFS(
    INDEX(Table1[],,MATCH($V24,Table1[#Headers],0)), X$11,
    Table1[Do you have any experience in creating/designing art?], "&lt;&gt;No experience"
)</f>
        <v>5</v>
      </c>
      <c r="Y24">
        <f>COUNTIFS(
    INDEX(Table1[],,MATCH($V24,Table1[#Headers],0)), Y$11,
    Table1[Do you have any experience in creating/designing art?], "&lt;&gt;No experience"
)</f>
        <v>14</v>
      </c>
    </row>
    <row r="25" spans="2:25" x14ac:dyDescent="0.3">
      <c r="B25" s="2" t="s">
        <v>91</v>
      </c>
      <c r="C25">
        <f>COUNTIFS(
    INDEX(Table1[],,MATCH($B25,Table1[#Headers],0)), C$11,
    Table1[Do you have any experience in creating/designing art?], "No experience"
)</f>
        <v>2</v>
      </c>
      <c r="D25">
        <f>COUNTIFS(
    INDEX(Table1[],,MATCH($B25,Table1[#Headers],0)), D$11,
    Table1[Do you have any experience in creating/designing art?], "No experience"
)</f>
        <v>4</v>
      </c>
      <c r="E25">
        <f>COUNTIFS(
    INDEX(Table1[],,MATCH($B25,Table1[#Headers],0)), E$11,
    Table1[Do you have any experience in creating/designing art?], "No experience"
)</f>
        <v>5</v>
      </c>
      <c r="F25">
        <f>COUNTIFS(
    INDEX(Table1[],,MATCH($B25,Table1[#Headers],0)), F$11,
    Table1[Do you have any experience in creating/designing art?], "No experience"
)</f>
        <v>18</v>
      </c>
      <c r="G25" s="2"/>
      <c r="H25" s="2"/>
      <c r="I25" s="2" t="s">
        <v>91</v>
      </c>
      <c r="J25">
        <f>COUNTIFS(
    INDEX(Table1[],,MATCH($I25,Table1[#Headers],0)), J$11,
    Table1[Do you have any experience in creating/designing art?], "&lt;&gt;No experience"
)</f>
        <v>5</v>
      </c>
      <c r="K25">
        <f>COUNTIFS(
    INDEX(Table1[],,MATCH($I25,Table1[#Headers],0)), K$11,
    Table1[Do you have any experience in creating/designing art?], "&lt;&gt;No experience"
)</f>
        <v>2</v>
      </c>
      <c r="L25">
        <f>COUNTIFS(
    INDEX(Table1[],,MATCH($I25,Table1[#Headers],0)), L$11,
    Table1[Do you have any experience in creating/designing art?], "&lt;&gt;No experience"
)</f>
        <v>6</v>
      </c>
      <c r="M25">
        <f>COUNTIFS(
    INDEX(Table1[],,MATCH($I25,Table1[#Headers],0)), M$11,
    Table1[Do you have any experience in creating/designing art?], "&lt;&gt;No experience"
)</f>
        <v>8</v>
      </c>
      <c r="N25" s="2"/>
      <c r="P25" t="s">
        <v>99</v>
      </c>
      <c r="Q25">
        <f>COUNTIFS(
    INDEX(Table1[],,MATCH($P25,Table1[#Headers],0)), Q$11,
    Table1[Do you have any experience in creating/designing art?], "No experience"
)</f>
        <v>6</v>
      </c>
      <c r="R25">
        <f>COUNTIFS(
    INDEX(Table1[],,MATCH($P25,Table1[#Headers],0)), R$11,
    Table1[Do you have any experience in creating/designing art?], "No experience"
)</f>
        <v>16</v>
      </c>
      <c r="S25">
        <f>COUNTIFS(
    INDEX(Table1[],,MATCH($P25,Table1[#Headers],0)), S$11,
    Table1[Do you have any experience in creating/designing art?], "No experience"
)</f>
        <v>7</v>
      </c>
      <c r="T25" s="2"/>
      <c r="V25" t="s">
        <v>99</v>
      </c>
      <c r="W25">
        <f>COUNTIFS(
    INDEX(Table1[],,MATCH($V25,Table1[#Headers],0)), W$11,
    Table1[Do you have any experience in creating/designing art?], "&lt;&gt;No experience"
)</f>
        <v>7</v>
      </c>
      <c r="X25">
        <f>COUNTIFS(
    INDEX(Table1[],,MATCH($V25,Table1[#Headers],0)), X$11,
    Table1[Do you have any experience in creating/designing art?], "&lt;&gt;No experience"
)</f>
        <v>9</v>
      </c>
      <c r="Y25">
        <f>COUNTIFS(
    INDEX(Table1[],,MATCH($V25,Table1[#Headers],0)), Y$11,
    Table1[Do you have any experience in creating/designing art?], "&lt;&gt;No experience"
)</f>
        <v>5</v>
      </c>
    </row>
    <row r="26" spans="2:25" x14ac:dyDescent="0.3">
      <c r="B26" s="2" t="s">
        <v>111</v>
      </c>
      <c r="C26">
        <f>COUNTIFS(
    INDEX(Table1[],,MATCH($B26,Table1[#Headers],0)), C$11,
    Table1[Do you have any experience in creating/designing art?], "No experience"
)</f>
        <v>13</v>
      </c>
      <c r="D26">
        <f>COUNTIFS(
    INDEX(Table1[],,MATCH($B26,Table1[#Headers],0)), D$11,
    Table1[Do you have any experience in creating/designing art?], "No experience"
)</f>
        <v>10</v>
      </c>
      <c r="E26">
        <f>COUNTIFS(
    INDEX(Table1[],,MATCH($B26,Table1[#Headers],0)), E$11,
    Table1[Do you have any experience in creating/designing art?], "No experience"
)</f>
        <v>4</v>
      </c>
      <c r="F26">
        <f>COUNTIFS(
    INDEX(Table1[],,MATCH($B26,Table1[#Headers],0)), F$11,
    Table1[Do you have any experience in creating/designing art?], "No experience"
)</f>
        <v>2</v>
      </c>
      <c r="G26" s="2"/>
      <c r="H26" s="2"/>
      <c r="I26" s="2" t="s">
        <v>111</v>
      </c>
      <c r="J26">
        <f>COUNTIFS(
    INDEX(Table1[],,MATCH($I26,Table1[#Headers],0)), J$11,
    Table1[Do you have any experience in creating/designing art?], "&lt;&gt;No experience"
)</f>
        <v>4</v>
      </c>
      <c r="K26">
        <f>COUNTIFS(
    INDEX(Table1[],,MATCH($I26,Table1[#Headers],0)), K$11,
    Table1[Do you have any experience in creating/designing art?], "&lt;&gt;No experience"
)</f>
        <v>11</v>
      </c>
      <c r="L26">
        <f>COUNTIFS(
    INDEX(Table1[],,MATCH($I26,Table1[#Headers],0)), L$11,
    Table1[Do you have any experience in creating/designing art?], "&lt;&gt;No experience"
)</f>
        <v>4</v>
      </c>
      <c r="M26">
        <f>COUNTIFS(
    INDEX(Table1[],,MATCH($I26,Table1[#Headers],0)), M$11,
    Table1[Do you have any experience in creating/designing art?], "&lt;&gt;No experience"
)</f>
        <v>2</v>
      </c>
      <c r="N26" s="2"/>
      <c r="P26" t="s">
        <v>119</v>
      </c>
      <c r="Q26">
        <f>COUNTIFS(
    INDEX(Table1[],,MATCH($P26,Table1[#Headers],0)), Q$11,
    Table1[Do you have any experience in creating/designing art?], "No experience"
)</f>
        <v>17</v>
      </c>
      <c r="R26">
        <f>COUNTIFS(
    INDEX(Table1[],,MATCH($P26,Table1[#Headers],0)), R$11,
    Table1[Do you have any experience in creating/designing art?], "No experience"
)</f>
        <v>8</v>
      </c>
      <c r="S26">
        <f>COUNTIFS(
    INDEX(Table1[],,MATCH($P26,Table1[#Headers],0)), S$11,
    Table1[Do you have any experience in creating/designing art?], "No experience"
)</f>
        <v>4</v>
      </c>
      <c r="T26" s="2"/>
      <c r="V26" t="s">
        <v>119</v>
      </c>
      <c r="W26">
        <f>COUNTIFS(
    INDEX(Table1[],,MATCH($V26,Table1[#Headers],0)), W$11,
    Table1[Do you have any experience in creating/designing art?], "&lt;&gt;No experience"
)</f>
        <v>10</v>
      </c>
      <c r="X26">
        <f>COUNTIFS(
    INDEX(Table1[],,MATCH($V26,Table1[#Headers],0)), X$11,
    Table1[Do you have any experience in creating/designing art?], "&lt;&gt;No experience"
)</f>
        <v>6</v>
      </c>
      <c r="Y26">
        <f>COUNTIFS(
    INDEX(Table1[],,MATCH($V26,Table1[#Headers],0)), Y$11,
    Table1[Do you have any experience in creating/designing art?], "&lt;&gt;No experience"
)</f>
        <v>5</v>
      </c>
    </row>
    <row r="27" spans="2:25" x14ac:dyDescent="0.3">
      <c r="B27" s="2" t="s">
        <v>131</v>
      </c>
      <c r="C27">
        <f>COUNTIFS(
    INDEX(Table1[],,MATCH($B27,Table1[#Headers],0)), C$11,
    Table1[Do you have any experience in creating/designing art?], "No experience"
)</f>
        <v>1</v>
      </c>
      <c r="D27">
        <f>COUNTIFS(
    INDEX(Table1[],,MATCH($B27,Table1[#Headers],0)), D$11,
    Table1[Do you have any experience in creating/designing art?], "No experience"
)</f>
        <v>4</v>
      </c>
      <c r="E27">
        <f>COUNTIFS(
    INDEX(Table1[],,MATCH($B27,Table1[#Headers],0)), E$11,
    Table1[Do you have any experience in creating/designing art?], "No experience"
)</f>
        <v>15</v>
      </c>
      <c r="F27">
        <f>COUNTIFS(
    INDEX(Table1[],,MATCH($B27,Table1[#Headers],0)), F$11,
    Table1[Do you have any experience in creating/designing art?], "No experience"
)</f>
        <v>9</v>
      </c>
      <c r="G27" s="2"/>
      <c r="H27" s="2"/>
      <c r="I27" s="2" t="s">
        <v>131</v>
      </c>
      <c r="J27">
        <f>COUNTIFS(
    INDEX(Table1[],,MATCH($I27,Table1[#Headers],0)), J$11,
    Table1[Do you have any experience in creating/designing art?], "&lt;&gt;No experience"
)</f>
        <v>1</v>
      </c>
      <c r="K27">
        <f>COUNTIFS(
    INDEX(Table1[],,MATCH($I27,Table1[#Headers],0)), K$11,
    Table1[Do you have any experience in creating/designing art?], "&lt;&gt;No experience"
)</f>
        <v>1</v>
      </c>
      <c r="L27">
        <f>COUNTIFS(
    INDEX(Table1[],,MATCH($I27,Table1[#Headers],0)), L$11,
    Table1[Do you have any experience in creating/designing art?], "&lt;&gt;No experience"
)</f>
        <v>5</v>
      </c>
      <c r="M27">
        <f>COUNTIFS(
    INDEX(Table1[],,MATCH($I27,Table1[#Headers],0)), M$11,
    Table1[Do you have any experience in creating/designing art?], "&lt;&gt;No experience"
)</f>
        <v>14</v>
      </c>
      <c r="N27" s="2"/>
      <c r="P27" t="s">
        <v>80</v>
      </c>
      <c r="Q27">
        <f>COUNTIFS(
    INDEX(Table1[],,MATCH($P27,Table1[#Headers],0)), Q$11,
    Table1[Do you have any experience in creating/designing art?], "No experience"
)</f>
        <v>19</v>
      </c>
      <c r="R27">
        <f>COUNTIFS(
    INDEX(Table1[],,MATCH($P27,Table1[#Headers],0)), R$11,
    Table1[Do you have any experience in creating/designing art?], "No experience"
)</f>
        <v>4</v>
      </c>
      <c r="S27">
        <f>COUNTIFS(
    INDEX(Table1[],,MATCH($P27,Table1[#Headers],0)), S$11,
    Table1[Do you have any experience in creating/designing art?], "No experience"
)</f>
        <v>6</v>
      </c>
      <c r="T27" s="2"/>
      <c r="V27" t="s">
        <v>80</v>
      </c>
      <c r="W27">
        <f>COUNTIFS(
    INDEX(Table1[],,MATCH($V27,Table1[#Headers],0)), W$11,
    Table1[Do you have any experience in creating/designing art?], "&lt;&gt;No experience"
)</f>
        <v>13</v>
      </c>
      <c r="X27">
        <f>COUNTIFS(
    INDEX(Table1[],,MATCH($V27,Table1[#Headers],0)), X$11,
    Table1[Do you have any experience in creating/designing art?], "&lt;&gt;No experience"
)</f>
        <v>4</v>
      </c>
      <c r="Y27">
        <f>COUNTIFS(
    INDEX(Table1[],,MATCH($V27,Table1[#Headers],0)), Y$11,
    Table1[Do you have any experience in creating/designing art?], "&lt;&gt;No experience"
)</f>
        <v>4</v>
      </c>
    </row>
    <row r="28" spans="2:25" x14ac:dyDescent="0.3">
      <c r="B28" s="2" t="s">
        <v>73</v>
      </c>
      <c r="C28">
        <f>COUNTIFS(
    INDEX(Table1[],,MATCH($B28,Table1[#Headers],0)), C$11,
    Table1[Do you have any experience in creating/designing art?], "No experience"
)</f>
        <v>21</v>
      </c>
      <c r="D28">
        <f>COUNTIFS(
    INDEX(Table1[],,MATCH($B28,Table1[#Headers],0)), D$11,
    Table1[Do you have any experience in creating/designing art?], "No experience"
)</f>
        <v>4</v>
      </c>
      <c r="E28">
        <f>COUNTIFS(
    INDEX(Table1[],,MATCH($B28,Table1[#Headers],0)), E$11,
    Table1[Do you have any experience in creating/designing art?], "No experience"
)</f>
        <v>3</v>
      </c>
      <c r="F28">
        <f>COUNTIFS(
    INDEX(Table1[],,MATCH($B28,Table1[#Headers],0)), F$11,
    Table1[Do you have any experience in creating/designing art?], "No experience"
)</f>
        <v>1</v>
      </c>
      <c r="G28" s="2"/>
      <c r="H28" s="2"/>
      <c r="I28" s="2" t="s">
        <v>73</v>
      </c>
      <c r="J28">
        <f>COUNTIFS(
    INDEX(Table1[],,MATCH($I28,Table1[#Headers],0)), J$11,
    Table1[Do you have any experience in creating/designing art?], "&lt;&gt;No experience"
)</f>
        <v>10</v>
      </c>
      <c r="K28">
        <f>COUNTIFS(
    INDEX(Table1[],,MATCH($I28,Table1[#Headers],0)), K$11,
    Table1[Do you have any experience in creating/designing art?], "&lt;&gt;No experience"
)</f>
        <v>6</v>
      </c>
      <c r="L28">
        <f>COUNTIFS(
    INDEX(Table1[],,MATCH($I28,Table1[#Headers],0)), L$11,
    Table1[Do you have any experience in creating/designing art?], "&lt;&gt;No experience"
)</f>
        <v>1</v>
      </c>
      <c r="M28">
        <f>COUNTIFS(
    INDEX(Table1[],,MATCH($I28,Table1[#Headers],0)), M$11,
    Table1[Do you have any experience in creating/designing art?], "&lt;&gt;No experience"
)</f>
        <v>4</v>
      </c>
      <c r="N28" s="2"/>
      <c r="P28" t="s">
        <v>100</v>
      </c>
      <c r="Q28">
        <f>COUNTIFS(
    INDEX(Table1[],,MATCH($P28,Table1[#Headers],0)), Q$11,
    Table1[Do you have any experience in creating/designing art?], "No experience"
)</f>
        <v>2</v>
      </c>
      <c r="R28">
        <f>COUNTIFS(
    INDEX(Table1[],,MATCH($P28,Table1[#Headers],0)), R$11,
    Table1[Do you have any experience in creating/designing art?], "No experience"
)</f>
        <v>12</v>
      </c>
      <c r="S28">
        <f>COUNTIFS(
    INDEX(Table1[],,MATCH($P28,Table1[#Headers],0)), S$11,
    Table1[Do you have any experience in creating/designing art?], "No experience"
)</f>
        <v>15</v>
      </c>
      <c r="T28" s="2"/>
      <c r="V28" t="s">
        <v>100</v>
      </c>
      <c r="W28">
        <f>COUNTIFS(
    INDEX(Table1[],,MATCH($V28,Table1[#Headers],0)), W$11,
    Table1[Do you have any experience in creating/designing art?], "&lt;&gt;No experience"
)</f>
        <v>1</v>
      </c>
      <c r="X28">
        <f>COUNTIFS(
    INDEX(Table1[],,MATCH($V28,Table1[#Headers],0)), X$11,
    Table1[Do you have any experience in creating/designing art?], "&lt;&gt;No experience"
)</f>
        <v>7</v>
      </c>
      <c r="Y28">
        <f>COUNTIFS(
    INDEX(Table1[],,MATCH($V28,Table1[#Headers],0)), Y$11,
    Table1[Do you have any experience in creating/designing art?], "&lt;&gt;No experience"
)</f>
        <v>13</v>
      </c>
    </row>
    <row r="29" spans="2:25" x14ac:dyDescent="0.3">
      <c r="B29" s="2" t="s">
        <v>93</v>
      </c>
      <c r="C29">
        <f>COUNTIFS(
    INDEX(Table1[],,MATCH($B29,Table1[#Headers],0)), C$11,
    Table1[Do you have any experience in creating/designing art?], "No experience"
)</f>
        <v>2</v>
      </c>
      <c r="D29">
        <f>COUNTIFS(
    INDEX(Table1[],,MATCH($B29,Table1[#Headers],0)), D$11,
    Table1[Do you have any experience in creating/designing art?], "No experience"
)</f>
        <v>6</v>
      </c>
      <c r="E29">
        <f>COUNTIFS(
    INDEX(Table1[],,MATCH($B29,Table1[#Headers],0)), E$11,
    Table1[Do you have any experience in creating/designing art?], "No experience"
)</f>
        <v>5</v>
      </c>
      <c r="F29">
        <f>COUNTIFS(
    INDEX(Table1[],,MATCH($B29,Table1[#Headers],0)), F$11,
    Table1[Do you have any experience in creating/designing art?], "No experience"
)</f>
        <v>16</v>
      </c>
      <c r="G29" s="2"/>
      <c r="H29" s="2"/>
      <c r="I29" s="2" t="s">
        <v>93</v>
      </c>
      <c r="J29">
        <f>COUNTIFS(
    INDEX(Table1[],,MATCH($I29,Table1[#Headers],0)), J$11,
    Table1[Do you have any experience in creating/designing art?], "&lt;&gt;No experience"
)</f>
        <v>5</v>
      </c>
      <c r="K29">
        <f>COUNTIFS(
    INDEX(Table1[],,MATCH($I29,Table1[#Headers],0)), K$11,
    Table1[Do you have any experience in creating/designing art?], "&lt;&gt;No experience"
)</f>
        <v>4</v>
      </c>
      <c r="L29">
        <f>COUNTIFS(
    INDEX(Table1[],,MATCH($I29,Table1[#Headers],0)), L$11,
    Table1[Do you have any experience in creating/designing art?], "&lt;&gt;No experience"
)</f>
        <v>5</v>
      </c>
      <c r="M29">
        <f>COUNTIFS(
    INDEX(Table1[],,MATCH($I29,Table1[#Headers],0)), M$11,
    Table1[Do you have any experience in creating/designing art?], "&lt;&gt;No experience"
)</f>
        <v>7</v>
      </c>
      <c r="N29" s="2"/>
      <c r="P29" t="s">
        <v>120</v>
      </c>
      <c r="Q29">
        <f>COUNTIFS(
    INDEX(Table1[],,MATCH($P29,Table1[#Headers],0)), Q$11,
    Table1[Do you have any experience in creating/designing art?], "No experience"
)</f>
        <v>8</v>
      </c>
      <c r="R29">
        <f>COUNTIFS(
    INDEX(Table1[],,MATCH($P29,Table1[#Headers],0)), R$11,
    Table1[Do you have any experience in creating/designing art?], "No experience"
)</f>
        <v>12</v>
      </c>
      <c r="S29">
        <f>COUNTIFS(
    INDEX(Table1[],,MATCH($P29,Table1[#Headers],0)), S$11,
    Table1[Do you have any experience in creating/designing art?], "No experience"
)</f>
        <v>9</v>
      </c>
      <c r="T29" s="2"/>
      <c r="V29" t="s">
        <v>120</v>
      </c>
      <c r="W29">
        <f>COUNTIFS(
    INDEX(Table1[],,MATCH($V29,Table1[#Headers],0)), W$11,
    Table1[Do you have any experience in creating/designing art?], "&lt;&gt;No experience"
)</f>
        <v>5</v>
      </c>
      <c r="X29">
        <f>COUNTIFS(
    INDEX(Table1[],,MATCH($V29,Table1[#Headers],0)), X$11,
    Table1[Do you have any experience in creating/designing art?], "&lt;&gt;No experience"
)</f>
        <v>9</v>
      </c>
      <c r="Y29">
        <f>COUNTIFS(
    INDEX(Table1[],,MATCH($V29,Table1[#Headers],0)), Y$11,
    Table1[Do you have any experience in creating/designing art?], "&lt;&gt;No experience"
)</f>
        <v>7</v>
      </c>
    </row>
    <row r="30" spans="2:25" x14ac:dyDescent="0.3">
      <c r="B30" s="2" t="s">
        <v>113</v>
      </c>
      <c r="C30">
        <f>COUNTIFS(
    INDEX(Table1[],,MATCH($B30,Table1[#Headers],0)), C$11,
    Table1[Do you have any experience in creating/designing art?], "No experience"
)</f>
        <v>4</v>
      </c>
      <c r="D30">
        <f>COUNTIFS(
    INDEX(Table1[],,MATCH($B30,Table1[#Headers],0)), D$11,
    Table1[Do you have any experience in creating/designing art?], "No experience"
)</f>
        <v>10</v>
      </c>
      <c r="E30">
        <f>COUNTIFS(
    INDEX(Table1[],,MATCH($B30,Table1[#Headers],0)), E$11,
    Table1[Do you have any experience in creating/designing art?], "No experience"
)</f>
        <v>11</v>
      </c>
      <c r="F30">
        <f>COUNTIFS(
    INDEX(Table1[],,MATCH($B30,Table1[#Headers],0)), F$11,
    Table1[Do you have any experience in creating/designing art?], "No experience"
)</f>
        <v>4</v>
      </c>
      <c r="G30" s="2"/>
      <c r="H30" s="2"/>
      <c r="I30" s="2" t="s">
        <v>113</v>
      </c>
      <c r="J30">
        <f>COUNTIFS(
    INDEX(Table1[],,MATCH($I30,Table1[#Headers],0)), J$11,
    Table1[Do you have any experience in creating/designing art?], "&lt;&gt;No experience"
)</f>
        <v>1</v>
      </c>
      <c r="K30">
        <f>COUNTIFS(
    INDEX(Table1[],,MATCH($I30,Table1[#Headers],0)), K$11,
    Table1[Do you have any experience in creating/designing art?], "&lt;&gt;No experience"
)</f>
        <v>8</v>
      </c>
      <c r="L30">
        <f>COUNTIFS(
    INDEX(Table1[],,MATCH($I30,Table1[#Headers],0)), L$11,
    Table1[Do you have any experience in creating/designing art?], "&lt;&gt;No experience"
)</f>
        <v>11</v>
      </c>
      <c r="M30">
        <f>COUNTIFS(
    INDEX(Table1[],,MATCH($I30,Table1[#Headers],0)), M$11,
    Table1[Do you have any experience in creating/designing art?], "&lt;&gt;No experience"
)</f>
        <v>1</v>
      </c>
      <c r="N30" s="2"/>
      <c r="P30" t="s">
        <v>81</v>
      </c>
      <c r="Q30">
        <f>COUNTIFS(
    INDEX(Table1[],,MATCH($P30,Table1[#Headers],0)), Q$11,
    Table1[Do you have any experience in creating/designing art?], "No experience"
)</f>
        <v>2</v>
      </c>
      <c r="R30">
        <f>COUNTIFS(
    INDEX(Table1[],,MATCH($P30,Table1[#Headers],0)), R$11,
    Table1[Do you have any experience in creating/designing art?], "No experience"
)</f>
        <v>5</v>
      </c>
      <c r="S30">
        <f>COUNTIFS(
    INDEX(Table1[],,MATCH($P30,Table1[#Headers],0)), S$11,
    Table1[Do you have any experience in creating/designing art?], "No experience"
)</f>
        <v>22</v>
      </c>
      <c r="T30" s="2"/>
      <c r="V30" t="s">
        <v>81</v>
      </c>
      <c r="W30">
        <f>COUNTIFS(
    INDEX(Table1[],,MATCH($V30,Table1[#Headers],0)), W$11,
    Table1[Do you have any experience in creating/designing art?], "&lt;&gt;No experience"
)</f>
        <v>0</v>
      </c>
      <c r="X30">
        <f>COUNTIFS(
    INDEX(Table1[],,MATCH($V30,Table1[#Headers],0)), X$11,
    Table1[Do you have any experience in creating/designing art?], "&lt;&gt;No experience"
)</f>
        <v>8</v>
      </c>
      <c r="Y30">
        <f>COUNTIFS(
    INDEX(Table1[],,MATCH($V30,Table1[#Headers],0)), Y$11,
    Table1[Do you have any experience in creating/designing art?], "&lt;&gt;No experience"
)</f>
        <v>13</v>
      </c>
    </row>
    <row r="31" spans="2:25" x14ac:dyDescent="0.3">
      <c r="B31" s="2" t="s">
        <v>133</v>
      </c>
      <c r="C31">
        <f>COUNTIFS(
    INDEX(Table1[],,MATCH($B31,Table1[#Headers],0)), C$11,
    Table1[Do you have any experience in creating/designing art?], "No experience"
)</f>
        <v>1</v>
      </c>
      <c r="D31">
        <f>COUNTIFS(
    INDEX(Table1[],,MATCH($B31,Table1[#Headers],0)), D$11,
    Table1[Do you have any experience in creating/designing art?], "No experience"
)</f>
        <v>10</v>
      </c>
      <c r="E31">
        <f>COUNTIFS(
    INDEX(Table1[],,MATCH($B31,Table1[#Headers],0)), E$11,
    Table1[Do you have any experience in creating/designing art?], "No experience"
)</f>
        <v>10</v>
      </c>
      <c r="F31">
        <f>COUNTIFS(
    INDEX(Table1[],,MATCH($B31,Table1[#Headers],0)), F$11,
    Table1[Do you have any experience in creating/designing art?], "No experience"
)</f>
        <v>8</v>
      </c>
      <c r="G31" s="2"/>
      <c r="H31" s="2"/>
      <c r="I31" s="2" t="s">
        <v>133</v>
      </c>
      <c r="J31">
        <f>COUNTIFS(
    INDEX(Table1[],,MATCH($I31,Table1[#Headers],0)), J$11,
    Table1[Do you have any experience in creating/designing art?], "&lt;&gt;No experience"
)</f>
        <v>3</v>
      </c>
      <c r="K31">
        <f>COUNTIFS(
    INDEX(Table1[],,MATCH($I31,Table1[#Headers],0)), K$11,
    Table1[Do you have any experience in creating/designing art?], "&lt;&gt;No experience"
)</f>
        <v>7</v>
      </c>
      <c r="L31">
        <f>COUNTIFS(
    INDEX(Table1[],,MATCH($I31,Table1[#Headers],0)), L$11,
    Table1[Do you have any experience in creating/designing art?], "&lt;&gt;No experience"
)</f>
        <v>5</v>
      </c>
      <c r="M31">
        <f>COUNTIFS(
    INDEX(Table1[],,MATCH($I31,Table1[#Headers],0)), M$11,
    Table1[Do you have any experience in creating/designing art?], "&lt;&gt;No experience"
)</f>
        <v>6</v>
      </c>
      <c r="N31" s="2"/>
      <c r="P31" t="s">
        <v>101</v>
      </c>
      <c r="Q31">
        <f>COUNTIFS(
    INDEX(Table1[],,MATCH($P31,Table1[#Headers],0)), Q$11,
    Table1[Do you have any experience in creating/designing art?], "No experience"
)</f>
        <v>18</v>
      </c>
      <c r="R31">
        <f>COUNTIFS(
    INDEX(Table1[],,MATCH($P31,Table1[#Headers],0)), R$11,
    Table1[Do you have any experience in creating/designing art?], "No experience"
)</f>
        <v>10</v>
      </c>
      <c r="S31">
        <f>COUNTIFS(
    INDEX(Table1[],,MATCH($P31,Table1[#Headers],0)), S$11,
    Table1[Do you have any experience in creating/designing art?], "No experience"
)</f>
        <v>1</v>
      </c>
      <c r="T31" s="2"/>
      <c r="V31" t="s">
        <v>101</v>
      </c>
      <c r="W31">
        <f>COUNTIFS(
    INDEX(Table1[],,MATCH($V31,Table1[#Headers],0)), W$11,
    Table1[Do you have any experience in creating/designing art?], "&lt;&gt;No experience"
)</f>
        <v>12</v>
      </c>
      <c r="X31">
        <f>COUNTIFS(
    INDEX(Table1[],,MATCH($V31,Table1[#Headers],0)), X$11,
    Table1[Do you have any experience in creating/designing art?], "&lt;&gt;No experience"
)</f>
        <v>6</v>
      </c>
      <c r="Y31">
        <f>COUNTIFS(
    INDEX(Table1[],,MATCH($V31,Table1[#Headers],0)), Y$11,
    Table1[Do you have any experience in creating/designing art?], "&lt;&gt;No experience"
)</f>
        <v>3</v>
      </c>
    </row>
    <row r="32" spans="2:25" x14ac:dyDescent="0.3">
      <c r="B32" s="2" t="s">
        <v>66</v>
      </c>
      <c r="C32">
        <f>COUNTIFS(
    INDEX(Table1[],,MATCH($B32,Table1[#Headers],0)), C$11,
    Table1[Do you have any experience in creating/designing art?], "No experience"
)</f>
        <v>15</v>
      </c>
      <c r="D32">
        <f>COUNTIFS(
    INDEX(Table1[],,MATCH($B32,Table1[#Headers],0)), D$11,
    Table1[Do you have any experience in creating/designing art?], "No experience"
)</f>
        <v>12</v>
      </c>
      <c r="E32">
        <f>COUNTIFS(
    INDEX(Table1[],,MATCH($B32,Table1[#Headers],0)), E$11,
    Table1[Do you have any experience in creating/designing art?], "No experience"
)</f>
        <v>0</v>
      </c>
      <c r="F32">
        <f>COUNTIFS(
    INDEX(Table1[],,MATCH($B32,Table1[#Headers],0)), F$11,
    Table1[Do you have any experience in creating/designing art?], "No experience"
)</f>
        <v>2</v>
      </c>
      <c r="G32" s="2"/>
      <c r="H32" s="2"/>
      <c r="I32" s="2" t="s">
        <v>66</v>
      </c>
      <c r="J32">
        <f>COUNTIFS(
    INDEX(Table1[],,MATCH($I32,Table1[#Headers],0)), J$11,
    Table1[Do you have any experience in creating/designing art?], "&lt;&gt;No experience"
)</f>
        <v>8</v>
      </c>
      <c r="K32">
        <f>COUNTIFS(
    INDEX(Table1[],,MATCH($I32,Table1[#Headers],0)), K$11,
    Table1[Do you have any experience in creating/designing art?], "&lt;&gt;No experience"
)</f>
        <v>9</v>
      </c>
      <c r="L32">
        <f>COUNTIFS(
    INDEX(Table1[],,MATCH($I32,Table1[#Headers],0)), L$11,
    Table1[Do you have any experience in creating/designing art?], "&lt;&gt;No experience"
)</f>
        <v>0</v>
      </c>
      <c r="M32">
        <f>COUNTIFS(
    INDEX(Table1[],,MATCH($I32,Table1[#Headers],0)), M$11,
    Table1[Do you have any experience in creating/designing art?], "&lt;&gt;No experience"
)</f>
        <v>4</v>
      </c>
      <c r="N32" s="2"/>
      <c r="P32" t="s">
        <v>121</v>
      </c>
      <c r="Q32">
        <f>COUNTIFS(
    INDEX(Table1[],,MATCH($P32,Table1[#Headers],0)), Q$11,
    Table1[Do you have any experience in creating/designing art?], "No experience"
)</f>
        <v>9</v>
      </c>
      <c r="R32">
        <f>COUNTIFS(
    INDEX(Table1[],,MATCH($P32,Table1[#Headers],0)), R$11,
    Table1[Do you have any experience in creating/designing art?], "No experience"
)</f>
        <v>14</v>
      </c>
      <c r="S32">
        <f>COUNTIFS(
    INDEX(Table1[],,MATCH($P32,Table1[#Headers],0)), S$11,
    Table1[Do you have any experience in creating/designing art?], "No experience"
)</f>
        <v>6</v>
      </c>
      <c r="T32" s="2"/>
      <c r="V32" t="s">
        <v>121</v>
      </c>
      <c r="W32">
        <f>COUNTIFS(
    INDEX(Table1[],,MATCH($V32,Table1[#Headers],0)), W$11,
    Table1[Do you have any experience in creating/designing art?], "&lt;&gt;No experience"
)</f>
        <v>9</v>
      </c>
      <c r="X32">
        <f>COUNTIFS(
    INDEX(Table1[],,MATCH($V32,Table1[#Headers],0)), X$11,
    Table1[Do you have any experience in creating/designing art?], "&lt;&gt;No experience"
)</f>
        <v>7</v>
      </c>
      <c r="Y32">
        <f>COUNTIFS(
    INDEX(Table1[],,MATCH($V32,Table1[#Headers],0)), Y$11,
    Table1[Do you have any experience in creating/designing art?], "&lt;&gt;No experience"
)</f>
        <v>5</v>
      </c>
    </row>
    <row r="33" spans="2:26" x14ac:dyDescent="0.3">
      <c r="B33" s="2" t="s">
        <v>86</v>
      </c>
      <c r="C33">
        <f>COUNTIFS(
    INDEX(Table1[],,MATCH($B33,Table1[#Headers],0)), C$11,
    Table1[Do you have any experience in creating/designing art?], "No experience"
)</f>
        <v>1</v>
      </c>
      <c r="D33">
        <f>COUNTIFS(
    INDEX(Table1[],,MATCH($B33,Table1[#Headers],0)), D$11,
    Table1[Do you have any experience in creating/designing art?], "No experience"
)</f>
        <v>2</v>
      </c>
      <c r="E33">
        <f>COUNTIFS(
    INDEX(Table1[],,MATCH($B33,Table1[#Headers],0)), E$11,
    Table1[Do you have any experience in creating/designing art?], "No experience"
)</f>
        <v>17</v>
      </c>
      <c r="F33">
        <f>COUNTIFS(
    INDEX(Table1[],,MATCH($B33,Table1[#Headers],0)), F$11,
    Table1[Do you have any experience in creating/designing art?], "No experience"
)</f>
        <v>9</v>
      </c>
      <c r="G33" s="2"/>
      <c r="H33" s="2"/>
      <c r="I33" s="2" t="s">
        <v>86</v>
      </c>
      <c r="J33">
        <f>COUNTIFS(
    INDEX(Table1[],,MATCH($I33,Table1[#Headers],0)), J$11,
    Table1[Do you have any experience in creating/designing art?], "&lt;&gt;No experience"
)</f>
        <v>1</v>
      </c>
      <c r="K33">
        <f>COUNTIFS(
    INDEX(Table1[],,MATCH($I33,Table1[#Headers],0)), K$11,
    Table1[Do you have any experience in creating/designing art?], "&lt;&gt;No experience"
)</f>
        <v>2</v>
      </c>
      <c r="L33">
        <f>COUNTIFS(
    INDEX(Table1[],,MATCH($I33,Table1[#Headers],0)), L$11,
    Table1[Do you have any experience in creating/designing art?], "&lt;&gt;No experience"
)</f>
        <v>14</v>
      </c>
      <c r="M33">
        <f>COUNTIFS(
    INDEX(Table1[],,MATCH($I33,Table1[#Headers],0)), M$11,
    Table1[Do you have any experience in creating/designing art?], "&lt;&gt;No experience"
)</f>
        <v>4</v>
      </c>
      <c r="N33" s="2"/>
      <c r="P33" t="s">
        <v>82</v>
      </c>
      <c r="Q33">
        <f>COUNTIFS(
    INDEX(Table1[],,MATCH($P33,Table1[#Headers],0)), Q$11,
    Table1[Do you have any experience in creating/designing art?], "No experience"
)</f>
        <v>3</v>
      </c>
      <c r="R33">
        <f>COUNTIFS(
    INDEX(Table1[],,MATCH($P33,Table1[#Headers],0)), R$11,
    Table1[Do you have any experience in creating/designing art?], "No experience"
)</f>
        <v>7</v>
      </c>
      <c r="S33">
        <f>COUNTIFS(
    INDEX(Table1[],,MATCH($P33,Table1[#Headers],0)), S$11,
    Table1[Do you have any experience in creating/designing art?], "No experience"
)</f>
        <v>19</v>
      </c>
      <c r="T33" s="2"/>
      <c r="V33" t="s">
        <v>82</v>
      </c>
      <c r="W33">
        <f>COUNTIFS(
    INDEX(Table1[],,MATCH($V33,Table1[#Headers],0)), W$11,
    Table1[Do you have any experience in creating/designing art?], "&lt;&gt;No experience"
)</f>
        <v>0</v>
      </c>
      <c r="X33">
        <f>COUNTIFS(
    INDEX(Table1[],,MATCH($V33,Table1[#Headers],0)), X$11,
    Table1[Do you have any experience in creating/designing art?], "&lt;&gt;No experience"
)</f>
        <v>4</v>
      </c>
      <c r="Y33">
        <f>COUNTIFS(
    INDEX(Table1[],,MATCH($V33,Table1[#Headers],0)), Y$11,
    Table1[Do you have any experience in creating/designing art?], "&lt;&gt;No experience"
)</f>
        <v>17</v>
      </c>
    </row>
    <row r="34" spans="2:26" x14ac:dyDescent="0.3">
      <c r="B34" s="2" t="s">
        <v>106</v>
      </c>
      <c r="C34">
        <f>COUNTIFS(
    INDEX(Table1[],,MATCH($B34,Table1[#Headers],0)), C$11,
    Table1[Do you have any experience in creating/designing art?], "No experience"
)</f>
        <v>3</v>
      </c>
      <c r="D34">
        <f>COUNTIFS(
    INDEX(Table1[],,MATCH($B34,Table1[#Headers],0)), D$11,
    Table1[Do you have any experience in creating/designing art?], "No experience"
)</f>
        <v>1</v>
      </c>
      <c r="E34">
        <f>COUNTIFS(
    INDEX(Table1[],,MATCH($B34,Table1[#Headers],0)), E$11,
    Table1[Do you have any experience in creating/designing art?], "No experience"
)</f>
        <v>8</v>
      </c>
      <c r="F34">
        <f>COUNTIFS(
    INDEX(Table1[],,MATCH($B34,Table1[#Headers],0)), F$11,
    Table1[Do you have any experience in creating/designing art?], "No experience"
)</f>
        <v>17</v>
      </c>
      <c r="G34" s="2"/>
      <c r="H34" s="2"/>
      <c r="I34" s="2" t="s">
        <v>106</v>
      </c>
      <c r="J34">
        <f>COUNTIFS(
    INDEX(Table1[],,MATCH($I34,Table1[#Headers],0)), J$11,
    Table1[Do you have any experience in creating/designing art?], "&lt;&gt;No experience"
)</f>
        <v>0</v>
      </c>
      <c r="K34">
        <f>COUNTIFS(
    INDEX(Table1[],,MATCH($I34,Table1[#Headers],0)), K$11,
    Table1[Do you have any experience in creating/designing art?], "&lt;&gt;No experience"
)</f>
        <v>3</v>
      </c>
      <c r="L34">
        <f>COUNTIFS(
    INDEX(Table1[],,MATCH($I34,Table1[#Headers],0)), L$11,
    Table1[Do you have any experience in creating/designing art?], "&lt;&gt;No experience"
)</f>
        <v>7</v>
      </c>
      <c r="M34">
        <f>COUNTIFS(
    INDEX(Table1[],,MATCH($I34,Table1[#Headers],0)), M$11,
    Table1[Do you have any experience in creating/designing art?], "&lt;&gt;No experience"
)</f>
        <v>11</v>
      </c>
      <c r="N34" s="2"/>
      <c r="P34" t="s">
        <v>102</v>
      </c>
      <c r="Q34">
        <f>COUNTIFS(
    INDEX(Table1[],,MATCH($P34,Table1[#Headers],0)), Q$11,
    Table1[Do you have any experience in creating/designing art?], "No experience"
)</f>
        <v>19</v>
      </c>
      <c r="R34">
        <f>COUNTIFS(
    INDEX(Table1[],,MATCH($P34,Table1[#Headers],0)), R$11,
    Table1[Do you have any experience in creating/designing art?], "No experience"
)</f>
        <v>9</v>
      </c>
      <c r="S34">
        <f>COUNTIFS(
    INDEX(Table1[],,MATCH($P34,Table1[#Headers],0)), S$11,
    Table1[Do you have any experience in creating/designing art?], "No experience"
)</f>
        <v>1</v>
      </c>
      <c r="T34" s="2"/>
      <c r="V34" t="s">
        <v>102</v>
      </c>
      <c r="W34">
        <f>COUNTIFS(
    INDEX(Table1[],,MATCH($V34,Table1[#Headers],0)), W$11,
    Table1[Do you have any experience in creating/designing art?], "&lt;&gt;No experience"
)</f>
        <v>15</v>
      </c>
      <c r="X34">
        <f>COUNTIFS(
    INDEX(Table1[],,MATCH($V34,Table1[#Headers],0)), X$11,
    Table1[Do you have any experience in creating/designing art?], "&lt;&gt;No experience"
)</f>
        <v>3</v>
      </c>
      <c r="Y34">
        <f>COUNTIFS(
    INDEX(Table1[],,MATCH($V34,Table1[#Headers],0)), Y$11,
    Table1[Do you have any experience in creating/designing art?], "&lt;&gt;No experience"
)</f>
        <v>3</v>
      </c>
    </row>
    <row r="35" spans="2:26" x14ac:dyDescent="0.3">
      <c r="B35" s="2" t="s">
        <v>126</v>
      </c>
      <c r="C35">
        <f>COUNTIFS(
    INDEX(Table1[],,MATCH($B35,Table1[#Headers],0)), C$11,
    Table1[Do you have any experience in creating/designing art?], "No experience"
)</f>
        <v>10</v>
      </c>
      <c r="D35">
        <f>COUNTIFS(
    INDEX(Table1[],,MATCH($B35,Table1[#Headers],0)), D$11,
    Table1[Do you have any experience in creating/designing art?], "No experience"
)</f>
        <v>14</v>
      </c>
      <c r="E35">
        <f>COUNTIFS(
    INDEX(Table1[],,MATCH($B35,Table1[#Headers],0)), E$11,
    Table1[Do you have any experience in creating/designing art?], "No experience"
)</f>
        <v>4</v>
      </c>
      <c r="F35">
        <f>COUNTIFS(
    INDEX(Table1[],,MATCH($B35,Table1[#Headers],0)), F$11,
    Table1[Do you have any experience in creating/designing art?], "No experience"
)</f>
        <v>1</v>
      </c>
      <c r="G35" s="2"/>
      <c r="H35" s="2"/>
      <c r="I35" s="2" t="s">
        <v>126</v>
      </c>
      <c r="J35">
        <f>COUNTIFS(
    INDEX(Table1[],,MATCH($I35,Table1[#Headers],0)), J$11,
    Table1[Do you have any experience in creating/designing art?], "&lt;&gt;No experience"
)</f>
        <v>10</v>
      </c>
      <c r="K35">
        <f>COUNTIFS(
    INDEX(Table1[],,MATCH($I35,Table1[#Headers],0)), K$11,
    Table1[Do you have any experience in creating/designing art?], "&lt;&gt;No experience"
)</f>
        <v>7</v>
      </c>
      <c r="L35">
        <f>COUNTIFS(
    INDEX(Table1[],,MATCH($I35,Table1[#Headers],0)), L$11,
    Table1[Do you have any experience in creating/designing art?], "&lt;&gt;No experience"
)</f>
        <v>2</v>
      </c>
      <c r="M35">
        <f>COUNTIFS(
    INDEX(Table1[],,MATCH($I35,Table1[#Headers],0)), M$11,
    Table1[Do you have any experience in creating/designing art?], "&lt;&gt;No experience"
)</f>
        <v>2</v>
      </c>
      <c r="N35" s="2"/>
      <c r="P35" t="s">
        <v>122</v>
      </c>
      <c r="Q35">
        <f>COUNTIFS(
    INDEX(Table1[],,MATCH($P35,Table1[#Headers],0)), Q$11,
    Table1[Do you have any experience in creating/designing art?], "No experience"
)</f>
        <v>7</v>
      </c>
      <c r="R35">
        <f>COUNTIFS(
    INDEX(Table1[],,MATCH($P35,Table1[#Headers],0)), R$11,
    Table1[Do you have any experience in creating/designing art?], "No experience"
)</f>
        <v>13</v>
      </c>
      <c r="S35">
        <f>COUNTIFS(
    INDEX(Table1[],,MATCH($P35,Table1[#Headers],0)), S$11,
    Table1[Do you have any experience in creating/designing art?], "No experience"
)</f>
        <v>9</v>
      </c>
      <c r="T35" s="2"/>
      <c r="V35" t="s">
        <v>122</v>
      </c>
      <c r="W35">
        <f>COUNTIFS(
    INDEX(Table1[],,MATCH($V35,Table1[#Headers],0)), W$11,
    Table1[Do you have any experience in creating/designing art?], "&lt;&gt;No experience"
)</f>
        <v>4</v>
      </c>
      <c r="X35">
        <f>COUNTIFS(
    INDEX(Table1[],,MATCH($V35,Table1[#Headers],0)), X$11,
    Table1[Do you have any experience in creating/designing art?], "&lt;&gt;No experience"
)</f>
        <v>12</v>
      </c>
      <c r="Y35">
        <f>COUNTIFS(
    INDEX(Table1[],,MATCH($V35,Table1[#Headers],0)), Y$11,
    Table1[Do you have any experience in creating/designing art?], "&lt;&gt;No experience"
)</f>
        <v>5</v>
      </c>
    </row>
    <row r="36" spans="2:26" x14ac:dyDescent="0.3">
      <c r="B36" s="2" t="s">
        <v>68</v>
      </c>
      <c r="C36">
        <f>COUNTIFS(
    INDEX(Table1[],,MATCH($B36,Table1[#Headers],0)), C$11,
    Table1[Do you have any experience in creating/designing art?], "No experience"
)</f>
        <v>22</v>
      </c>
      <c r="D36">
        <f>COUNTIFS(
    INDEX(Table1[],,MATCH($B36,Table1[#Headers],0)), D$11,
    Table1[Do you have any experience in creating/designing art?], "No experience"
)</f>
        <v>1</v>
      </c>
      <c r="E36">
        <f>COUNTIFS(
    INDEX(Table1[],,MATCH($B36,Table1[#Headers],0)), E$11,
    Table1[Do you have any experience in creating/designing art?], "No experience"
)</f>
        <v>5</v>
      </c>
      <c r="F36">
        <f>COUNTIFS(
    INDEX(Table1[],,MATCH($B36,Table1[#Headers],0)), F$11,
    Table1[Do you have any experience in creating/designing art?], "No experience"
)</f>
        <v>1</v>
      </c>
      <c r="G36" s="2"/>
      <c r="H36" s="2"/>
      <c r="I36" s="2" t="s">
        <v>68</v>
      </c>
      <c r="J36">
        <f>COUNTIFS(
    INDEX(Table1[],,MATCH($I36,Table1[#Headers],0)), J$11,
    Table1[Do you have any experience in creating/designing art?], "&lt;&gt;No experience"
)</f>
        <v>16</v>
      </c>
      <c r="K36">
        <f>COUNTIFS(
    INDEX(Table1[],,MATCH($I36,Table1[#Headers],0)), K$11,
    Table1[Do you have any experience in creating/designing art?], "&lt;&gt;No experience"
)</f>
        <v>1</v>
      </c>
      <c r="L36">
        <f>COUNTIFS(
    INDEX(Table1[],,MATCH($I36,Table1[#Headers],0)), L$11,
    Table1[Do you have any experience in creating/designing art?], "&lt;&gt;No experience"
)</f>
        <v>2</v>
      </c>
      <c r="M36">
        <f>COUNTIFS(
    INDEX(Table1[],,MATCH($I36,Table1[#Headers],0)), M$11,
    Table1[Do you have any experience in creating/designing art?], "&lt;&gt;No experience"
)</f>
        <v>2</v>
      </c>
      <c r="N36" s="2"/>
      <c r="P36" t="s">
        <v>83</v>
      </c>
      <c r="Q36">
        <f>COUNTIFS(
    INDEX(Table1[],,MATCH($P36,Table1[#Headers],0)), Q$11,
    Table1[Do you have any experience in creating/designing art?], "No experience"
)</f>
        <v>18</v>
      </c>
      <c r="R36">
        <f>COUNTIFS(
    INDEX(Table1[],,MATCH($P36,Table1[#Headers],0)), R$11,
    Table1[Do you have any experience in creating/designing art?], "No experience"
)</f>
        <v>5</v>
      </c>
      <c r="S36">
        <f>COUNTIFS(
    INDEX(Table1[],,MATCH($P36,Table1[#Headers],0)), S$11,
    Table1[Do you have any experience in creating/designing art?], "No experience"
)</f>
        <v>6</v>
      </c>
      <c r="T36" s="2"/>
      <c r="V36" t="s">
        <v>83</v>
      </c>
      <c r="W36">
        <f>COUNTIFS(
    INDEX(Table1[],,MATCH($V36,Table1[#Headers],0)), W$11,
    Table1[Do you have any experience in creating/designing art?], "&lt;&gt;No experience"
)</f>
        <v>13</v>
      </c>
      <c r="X36">
        <f>COUNTIFS(
    INDEX(Table1[],,MATCH($V36,Table1[#Headers],0)), X$11,
    Table1[Do you have any experience in creating/designing art?], "&lt;&gt;No experience"
)</f>
        <v>4</v>
      </c>
      <c r="Y36">
        <f>COUNTIFS(
    INDEX(Table1[],,MATCH($V36,Table1[#Headers],0)), Y$11,
    Table1[Do you have any experience in creating/designing art?], "&lt;&gt;No experience"
)</f>
        <v>4</v>
      </c>
    </row>
    <row r="37" spans="2:26" x14ac:dyDescent="0.3">
      <c r="B37" s="2" t="s">
        <v>88</v>
      </c>
      <c r="C37">
        <f>COUNTIFS(
    INDEX(Table1[],,MATCH($B37,Table1[#Headers],0)), C$11,
    Table1[Do you have any experience in creating/designing art?], "No experience"
)</f>
        <v>2</v>
      </c>
      <c r="D37">
        <f>COUNTIFS(
    INDEX(Table1[],,MATCH($B37,Table1[#Headers],0)), D$11,
    Table1[Do you have any experience in creating/designing art?], "No experience"
)</f>
        <v>5</v>
      </c>
      <c r="E37">
        <f>COUNTIFS(
    INDEX(Table1[],,MATCH($B37,Table1[#Headers],0)), E$11,
    Table1[Do you have any experience in creating/designing art?], "No experience"
)</f>
        <v>8</v>
      </c>
      <c r="F37">
        <f>COUNTIFS(
    INDEX(Table1[],,MATCH($B37,Table1[#Headers],0)), F$11,
    Table1[Do you have any experience in creating/designing art?], "No experience"
)</f>
        <v>14</v>
      </c>
      <c r="G37" s="2"/>
      <c r="H37" s="2"/>
      <c r="I37" s="2" t="s">
        <v>88</v>
      </c>
      <c r="J37">
        <f>COUNTIFS(
    INDEX(Table1[],,MATCH($I37,Table1[#Headers],0)), J$11,
    Table1[Do you have any experience in creating/designing art?], "&lt;&gt;No experience"
)</f>
        <v>2</v>
      </c>
      <c r="K37">
        <f>COUNTIFS(
    INDEX(Table1[],,MATCH($I37,Table1[#Headers],0)), K$11,
    Table1[Do you have any experience in creating/designing art?], "&lt;&gt;No experience"
)</f>
        <v>2</v>
      </c>
      <c r="L37">
        <f>COUNTIFS(
    INDEX(Table1[],,MATCH($I37,Table1[#Headers],0)), L$11,
    Table1[Do you have any experience in creating/designing art?], "&lt;&gt;No experience"
)</f>
        <v>4</v>
      </c>
      <c r="M37">
        <f>COUNTIFS(
    INDEX(Table1[],,MATCH($I37,Table1[#Headers],0)), M$11,
    Table1[Do you have any experience in creating/designing art?], "&lt;&gt;No experience"
)</f>
        <v>13</v>
      </c>
      <c r="N37" s="2"/>
      <c r="P37" t="s">
        <v>103</v>
      </c>
      <c r="Q37">
        <f>COUNTIFS(
    INDEX(Table1[],,MATCH($P37,Table1[#Headers],0)), Q$11,
    Table1[Do you have any experience in creating/designing art?], "No experience"
)</f>
        <v>9</v>
      </c>
      <c r="R37">
        <f>COUNTIFS(
    INDEX(Table1[],,MATCH($P37,Table1[#Headers],0)), R$11,
    Table1[Do you have any experience in creating/designing art?], "No experience"
)</f>
        <v>13</v>
      </c>
      <c r="S37">
        <f>COUNTIFS(
    INDEX(Table1[],,MATCH($P37,Table1[#Headers],0)), S$11,
    Table1[Do you have any experience in creating/designing art?], "No experience"
)</f>
        <v>7</v>
      </c>
      <c r="T37" s="2"/>
      <c r="V37" t="s">
        <v>103</v>
      </c>
      <c r="W37">
        <f>COUNTIFS(
    INDEX(Table1[],,MATCH($V37,Table1[#Headers],0)), W$11,
    Table1[Do you have any experience in creating/designing art?], "&lt;&gt;No experience"
)</f>
        <v>5</v>
      </c>
      <c r="X37">
        <f>COUNTIFS(
    INDEX(Table1[],,MATCH($V37,Table1[#Headers],0)), X$11,
    Table1[Do you have any experience in creating/designing art?], "&lt;&gt;No experience"
)</f>
        <v>13</v>
      </c>
      <c r="Y37">
        <f>COUNTIFS(
    INDEX(Table1[],,MATCH($V37,Table1[#Headers],0)), Y$11,
    Table1[Do you have any experience in creating/designing art?], "&lt;&gt;No experience"
)</f>
        <v>3</v>
      </c>
    </row>
    <row r="38" spans="2:26" x14ac:dyDescent="0.3">
      <c r="B38" s="2" t="s">
        <v>108</v>
      </c>
      <c r="C38">
        <f>COUNTIFS(
    INDEX(Table1[],,MATCH($B38,Table1[#Headers],0)), C$11,
    Table1[Do you have any experience in creating/designing art?], "No experience"
)</f>
        <v>1</v>
      </c>
      <c r="D38">
        <f>COUNTIFS(
    INDEX(Table1[],,MATCH($B38,Table1[#Headers],0)), D$11,
    Table1[Do you have any experience in creating/designing art?], "No experience"
)</f>
        <v>15</v>
      </c>
      <c r="E38">
        <f>COUNTIFS(
    INDEX(Table1[],,MATCH($B38,Table1[#Headers],0)), E$11,
    Table1[Do you have any experience in creating/designing art?], "No experience"
)</f>
        <v>6</v>
      </c>
      <c r="F38">
        <f>COUNTIFS(
    INDEX(Table1[],,MATCH($B38,Table1[#Headers],0)), F$11,
    Table1[Do you have any experience in creating/designing art?], "No experience"
)</f>
        <v>7</v>
      </c>
      <c r="G38" s="2"/>
      <c r="H38" s="2"/>
      <c r="I38" s="2" t="s">
        <v>108</v>
      </c>
      <c r="J38">
        <f>COUNTIFS(
    INDEX(Table1[],,MATCH($I38,Table1[#Headers],0)), J$11,
    Table1[Do you have any experience in creating/designing art?], "&lt;&gt;No experience"
)</f>
        <v>0</v>
      </c>
      <c r="K38">
        <f>COUNTIFS(
    INDEX(Table1[],,MATCH($I38,Table1[#Headers],0)), K$11,
    Table1[Do you have any experience in creating/designing art?], "&lt;&gt;No experience"
)</f>
        <v>14</v>
      </c>
      <c r="L38">
        <f>COUNTIFS(
    INDEX(Table1[],,MATCH($I38,Table1[#Headers],0)), L$11,
    Table1[Do you have any experience in creating/designing art?], "&lt;&gt;No experience"
)</f>
        <v>4</v>
      </c>
      <c r="M38">
        <f>COUNTIFS(
    INDEX(Table1[],,MATCH($I38,Table1[#Headers],0)), M$11,
    Table1[Do you have any experience in creating/designing art?], "&lt;&gt;No experience"
)</f>
        <v>3</v>
      </c>
      <c r="N38" s="2"/>
      <c r="P38" t="s">
        <v>123</v>
      </c>
      <c r="Q38">
        <f>COUNTIFS(
    INDEX(Table1[],,MATCH($P38,Table1[#Headers],0)), Q$11,
    Table1[Do you have any experience in creating/designing art?], "No experience"
)</f>
        <v>3</v>
      </c>
      <c r="R38">
        <f>COUNTIFS(
    INDEX(Table1[],,MATCH($P38,Table1[#Headers],0)), R$11,
    Table1[Do you have any experience in creating/designing art?], "No experience"
)</f>
        <v>11</v>
      </c>
      <c r="S38">
        <f>COUNTIFS(
    INDEX(Table1[],,MATCH($P38,Table1[#Headers],0)), S$11,
    Table1[Do you have any experience in creating/designing art?], "No experience"
)</f>
        <v>15</v>
      </c>
      <c r="T38" s="2"/>
      <c r="V38" t="s">
        <v>123</v>
      </c>
      <c r="W38">
        <f>COUNTIFS(
    INDEX(Table1[],,MATCH($V38,Table1[#Headers],0)), W$11,
    Table1[Do you have any experience in creating/designing art?], "&lt;&gt;No experience"
)</f>
        <v>1</v>
      </c>
      <c r="X38">
        <f>COUNTIFS(
    INDEX(Table1[],,MATCH($V38,Table1[#Headers],0)), X$11,
    Table1[Do you have any experience in creating/designing art?], "&lt;&gt;No experience"
)</f>
        <v>3</v>
      </c>
      <c r="Y38">
        <f>COUNTIFS(
    INDEX(Table1[],,MATCH($V38,Table1[#Headers],0)), Y$11,
    Table1[Do you have any experience in creating/designing art?], "&lt;&gt;No experience"
)</f>
        <v>17</v>
      </c>
    </row>
    <row r="39" spans="2:26" x14ac:dyDescent="0.3">
      <c r="B39" s="2" t="s">
        <v>128</v>
      </c>
      <c r="C39">
        <f>COUNTIFS(
    INDEX(Table1[],,MATCH($B39,Table1[#Headers],0)), C$11,
    Table1[Do you have any experience in creating/designing art?], "No experience"
)</f>
        <v>4</v>
      </c>
      <c r="D39">
        <f>COUNTIFS(
    INDEX(Table1[],,MATCH($B39,Table1[#Headers],0)), D$11,
    Table1[Do you have any experience in creating/designing art?], "No experience"
)</f>
        <v>7</v>
      </c>
      <c r="E39">
        <f>COUNTIFS(
    INDEX(Table1[],,MATCH($B39,Table1[#Headers],0)), E$11,
    Table1[Do you have any experience in creating/designing art?], "No experience"
)</f>
        <v>11</v>
      </c>
      <c r="F39">
        <f>COUNTIFS(
    INDEX(Table1[],,MATCH($B39,Table1[#Headers],0)), F$11,
    Table1[Do you have any experience in creating/designing art?], "No experience"
)</f>
        <v>7</v>
      </c>
      <c r="G39" s="2"/>
      <c r="H39" s="2"/>
      <c r="I39" s="2" t="s">
        <v>128</v>
      </c>
      <c r="J39">
        <f>COUNTIFS(
    INDEX(Table1[],,MATCH($I39,Table1[#Headers],0)), J$11,
    Table1[Do you have any experience in creating/designing art?], "&lt;&gt;No experience"
)</f>
        <v>1</v>
      </c>
      <c r="K39">
        <f>COUNTIFS(
    INDEX(Table1[],,MATCH($I39,Table1[#Headers],0)), K$11,
    Table1[Do you have any experience in creating/designing art?], "&lt;&gt;No experience"
)</f>
        <v>4</v>
      </c>
      <c r="L39">
        <f>COUNTIFS(
    INDEX(Table1[],,MATCH($I39,Table1[#Headers],0)), L$11,
    Table1[Do you have any experience in creating/designing art?], "&lt;&gt;No experience"
)</f>
        <v>10</v>
      </c>
      <c r="M39">
        <f>COUNTIFS(
    INDEX(Table1[],,MATCH($I39,Table1[#Headers],0)), M$11,
    Table1[Do you have any experience in creating/designing art?], "&lt;&gt;No experience"
)</f>
        <v>6</v>
      </c>
      <c r="N39" s="2"/>
      <c r="P39" t="s">
        <v>84</v>
      </c>
      <c r="Q39">
        <f>COUNTIFS(
    INDEX(Table1[],,MATCH($P39,Table1[#Headers],0)), Q$11,
    Table1[Do you have any experience in creating/designing art?], "No experience"
)</f>
        <v>14</v>
      </c>
      <c r="R39">
        <f>COUNTIFS(
    INDEX(Table1[],,MATCH($P39,Table1[#Headers],0)), R$11,
    Table1[Do you have any experience in creating/designing art?], "No experience"
)</f>
        <v>11</v>
      </c>
      <c r="S39">
        <f>COUNTIFS(
    INDEX(Table1[],,MATCH($P39,Table1[#Headers],0)), S$11,
    Table1[Do you have any experience in creating/designing art?], "No experience"
)</f>
        <v>4</v>
      </c>
      <c r="T39" s="2"/>
      <c r="V39" t="s">
        <v>84</v>
      </c>
      <c r="W39">
        <f>COUNTIFS(
    INDEX(Table1[],,MATCH($V39,Table1[#Headers],0)), W$11,
    Table1[Do you have any experience in creating/designing art?], "&lt;&gt;No experience"
)</f>
        <v>10</v>
      </c>
      <c r="X39">
        <f>COUNTIFS(
    INDEX(Table1[],,MATCH($V39,Table1[#Headers],0)), X$11,
    Table1[Do you have any experience in creating/designing art?], "&lt;&gt;No experience"
)</f>
        <v>9</v>
      </c>
      <c r="Y39">
        <f>COUNTIFS(
    INDEX(Table1[],,MATCH($V39,Table1[#Headers],0)), Y$11,
    Table1[Do you have any experience in creating/designing art?], "&lt;&gt;No experience"
)</f>
        <v>2</v>
      </c>
    </row>
    <row r="40" spans="2:26" x14ac:dyDescent="0.3">
      <c r="B40" s="2" t="s">
        <v>70</v>
      </c>
      <c r="C40">
        <f>COUNTIFS(
    INDEX(Table1[],,MATCH($B40,Table1[#Headers],0)), C$11,
    Table1[Do you have any experience in creating/designing art?], "No experience"
)</f>
        <v>11</v>
      </c>
      <c r="D40">
        <f>COUNTIFS(
    INDEX(Table1[],,MATCH($B40,Table1[#Headers],0)), D$11,
    Table1[Do you have any experience in creating/designing art?], "No experience"
)</f>
        <v>5</v>
      </c>
      <c r="E40">
        <f>COUNTIFS(
    INDEX(Table1[],,MATCH($B40,Table1[#Headers],0)), E$11,
    Table1[Do you have any experience in creating/designing art?], "No experience"
)</f>
        <v>11</v>
      </c>
      <c r="F40">
        <f>COUNTIFS(
    INDEX(Table1[],,MATCH($B40,Table1[#Headers],0)), F$11,
    Table1[Do you have any experience in creating/designing art?], "No experience"
)</f>
        <v>2</v>
      </c>
      <c r="G40" s="2"/>
      <c r="H40" s="2"/>
      <c r="I40" s="2" t="s">
        <v>70</v>
      </c>
      <c r="J40">
        <f>COUNTIFS(
    INDEX(Table1[],,MATCH($I40,Table1[#Headers],0)), J$11,
    Table1[Do you have any experience in creating/designing art?], "&lt;&gt;No experience"
)</f>
        <v>8</v>
      </c>
      <c r="K40">
        <f>COUNTIFS(
    INDEX(Table1[],,MATCH($I40,Table1[#Headers],0)), K$11,
    Table1[Do you have any experience in creating/designing art?], "&lt;&gt;No experience"
)</f>
        <v>3</v>
      </c>
      <c r="L40">
        <f>COUNTIFS(
    INDEX(Table1[],,MATCH($I40,Table1[#Headers],0)), L$11,
    Table1[Do you have any experience in creating/designing art?], "&lt;&gt;No experience"
)</f>
        <v>9</v>
      </c>
      <c r="M40">
        <f>COUNTIFS(
    INDEX(Table1[],,MATCH($I40,Table1[#Headers],0)), M$11,
    Table1[Do you have any experience in creating/designing art?], "&lt;&gt;No experience"
)</f>
        <v>1</v>
      </c>
      <c r="N40" s="2"/>
      <c r="P40" t="s">
        <v>104</v>
      </c>
      <c r="Q40">
        <f>COUNTIFS(
    INDEX(Table1[],,MATCH($P40,Table1[#Headers],0)), Q$11,
    Table1[Do you have any experience in creating/designing art?], "No experience"
)</f>
        <v>14</v>
      </c>
      <c r="R40">
        <f>COUNTIFS(
    INDEX(Table1[],,MATCH($P40,Table1[#Headers],0)), R$11,
    Table1[Do you have any experience in creating/designing art?], "No experience"
)</f>
        <v>14</v>
      </c>
      <c r="S40">
        <f>COUNTIFS(
    INDEX(Table1[],,MATCH($P40,Table1[#Headers],0)), S$11,
    Table1[Do you have any experience in creating/designing art?], "No experience"
)</f>
        <v>1</v>
      </c>
      <c r="T40" s="2"/>
      <c r="V40" t="s">
        <v>104</v>
      </c>
      <c r="W40">
        <f>COUNTIFS(
    INDEX(Table1[],,MATCH($V40,Table1[#Headers],0)), W$11,
    Table1[Do you have any experience in creating/designing art?], "&lt;&gt;No experience"
)</f>
        <v>7</v>
      </c>
      <c r="X40">
        <f>COUNTIFS(
    INDEX(Table1[],,MATCH($V40,Table1[#Headers],0)), X$11,
    Table1[Do you have any experience in creating/designing art?], "&lt;&gt;No experience"
)</f>
        <v>10</v>
      </c>
      <c r="Y40">
        <f>COUNTIFS(
    INDEX(Table1[],,MATCH($V40,Table1[#Headers],0)), Y$11,
    Table1[Do you have any experience in creating/designing art?], "&lt;&gt;No experience"
)</f>
        <v>4</v>
      </c>
    </row>
    <row r="41" spans="2:26" x14ac:dyDescent="0.3">
      <c r="B41" s="2" t="s">
        <v>90</v>
      </c>
      <c r="C41">
        <f>COUNTIFS(
    INDEX(Table1[],,MATCH($B41,Table1[#Headers],0)), C$11,
    Table1[Do you have any experience in creating/designing art?], "No experience"
)</f>
        <v>3</v>
      </c>
      <c r="D41">
        <f>COUNTIFS(
    INDEX(Table1[],,MATCH($B41,Table1[#Headers],0)), D$11,
    Table1[Do you have any experience in creating/designing art?], "No experience"
)</f>
        <v>13</v>
      </c>
      <c r="E41">
        <f>COUNTIFS(
    INDEX(Table1[],,MATCH($B41,Table1[#Headers],0)), E$11,
    Table1[Do you have any experience in creating/designing art?], "No experience"
)</f>
        <v>9</v>
      </c>
      <c r="F41">
        <f>COUNTIFS(
    INDEX(Table1[],,MATCH($B41,Table1[#Headers],0)), F$11,
    Table1[Do you have any experience in creating/designing art?], "No experience"
)</f>
        <v>4</v>
      </c>
      <c r="G41" s="2"/>
      <c r="H41" s="2"/>
      <c r="I41" s="2" t="s">
        <v>90</v>
      </c>
      <c r="J41">
        <f>COUNTIFS(
    INDEX(Table1[],,MATCH($I41,Table1[#Headers],0)), J$11,
    Table1[Do you have any experience in creating/designing art?], "&lt;&gt;No experience"
)</f>
        <v>3</v>
      </c>
      <c r="K41">
        <f>COUNTIFS(
    INDEX(Table1[],,MATCH($I41,Table1[#Headers],0)), K$11,
    Table1[Do you have any experience in creating/designing art?], "&lt;&gt;No experience"
)</f>
        <v>13</v>
      </c>
      <c r="L41">
        <f>COUNTIFS(
    INDEX(Table1[],,MATCH($I41,Table1[#Headers],0)), L$11,
    Table1[Do you have any experience in creating/designing art?], "&lt;&gt;No experience"
)</f>
        <v>3</v>
      </c>
      <c r="M41">
        <f>COUNTIFS(
    INDEX(Table1[],,MATCH($I41,Table1[#Headers],0)), M$11,
    Table1[Do you have any experience in creating/designing art?], "&lt;&gt;No experience"
)</f>
        <v>2</v>
      </c>
      <c r="N41" s="2"/>
      <c r="P41" t="s">
        <v>124</v>
      </c>
      <c r="Q41">
        <f>COUNTIFS(
    INDEX(Table1[],,MATCH($P41,Table1[#Headers],0)), Q$11,
    Table1[Do you have any experience in creating/designing art?], "No experience"
)</f>
        <v>3</v>
      </c>
      <c r="R41">
        <f>COUNTIFS(
    INDEX(Table1[],,MATCH($P41,Table1[#Headers],0)), R$11,
    Table1[Do you have any experience in creating/designing art?], "No experience"
)</f>
        <v>3</v>
      </c>
      <c r="S41">
        <f>COUNTIFS(
    INDEX(Table1[],,MATCH($P41,Table1[#Headers],0)), S$11,
    Table1[Do you have any experience in creating/designing art?], "No experience"
)</f>
        <v>23</v>
      </c>
      <c r="T41" s="2"/>
      <c r="V41" t="s">
        <v>124</v>
      </c>
      <c r="W41">
        <f>COUNTIFS(
    INDEX(Table1[],,MATCH($V41,Table1[#Headers],0)), W$11,
    Table1[Do you have any experience in creating/designing art?], "&lt;&gt;No experience"
)</f>
        <v>5</v>
      </c>
      <c r="X41">
        <f>COUNTIFS(
    INDEX(Table1[],,MATCH($V41,Table1[#Headers],0)), X$11,
    Table1[Do you have any experience in creating/designing art?], "&lt;&gt;No experience"
)</f>
        <v>2</v>
      </c>
      <c r="Y41">
        <f>COUNTIFS(
    INDEX(Table1[],,MATCH($V41,Table1[#Headers],0)), Y$11,
    Table1[Do you have any experience in creating/designing art?], "&lt;&gt;No experience"
)</f>
        <v>14</v>
      </c>
    </row>
    <row r="42" spans="2:26" x14ac:dyDescent="0.3">
      <c r="B42" t="s">
        <v>110</v>
      </c>
      <c r="C42">
        <f>COUNTIFS(
    INDEX(Table1[],,MATCH($B42,Table1[#Headers],0)), C$11,
    Table1[Do you have any experience in creating/designing art?], "No experience"
)</f>
        <v>5</v>
      </c>
      <c r="D42">
        <f>COUNTIFS(
    INDEX(Table1[],,MATCH($B42,Table1[#Headers],0)), D$11,
    Table1[Do you have any experience in creating/designing art?], "No experience"
)</f>
        <v>5</v>
      </c>
      <c r="E42">
        <f>COUNTIFS(
    INDEX(Table1[],,MATCH($B42,Table1[#Headers],0)), E$11,
    Table1[Do you have any experience in creating/designing art?], "No experience"
)</f>
        <v>5</v>
      </c>
      <c r="F42">
        <f>COUNTIFS(
    INDEX(Table1[],,MATCH($B42,Table1[#Headers],0)), F$11,
    Table1[Do you have any experience in creating/designing art?], "No experience"
)</f>
        <v>14</v>
      </c>
      <c r="I42" t="s">
        <v>110</v>
      </c>
      <c r="J42">
        <f>COUNTIFS(
    INDEX(Table1[],,MATCH($I42,Table1[#Headers],0)), J$11,
    Table1[Do you have any experience in creating/designing art?], "&lt;&gt;No experience"
)</f>
        <v>2</v>
      </c>
      <c r="K42">
        <f>COUNTIFS(
    INDEX(Table1[],,MATCH($I42,Table1[#Headers],0)), K$11,
    Table1[Do you have any experience in creating/designing art?], "&lt;&gt;No experience"
)</f>
        <v>3</v>
      </c>
      <c r="L42">
        <f>COUNTIFS(
    INDEX(Table1[],,MATCH($I42,Table1[#Headers],0)), L$11,
    Table1[Do you have any experience in creating/designing art?], "&lt;&gt;No experience"
)</f>
        <v>3</v>
      </c>
      <c r="M42">
        <f>COUNTIFS(
    INDEX(Table1[],,MATCH($I42,Table1[#Headers],0)), M$11,
    Table1[Do you have any experience in creating/designing art?], "&lt;&gt;No experience"
)</f>
        <v>13</v>
      </c>
    </row>
    <row r="43" spans="2:26" x14ac:dyDescent="0.3">
      <c r="B43" t="s">
        <v>130</v>
      </c>
      <c r="C43">
        <f>COUNTIFS(
    INDEX(Table1[],,MATCH($B43,Table1[#Headers],0)), C$11,
    Table1[Do you have any experience in creating/designing art?], "No experience"
)</f>
        <v>10</v>
      </c>
      <c r="D43">
        <f>COUNTIFS(
    INDEX(Table1[],,MATCH($B43,Table1[#Headers],0)), D$11,
    Table1[Do you have any experience in creating/designing art?], "No experience"
)</f>
        <v>5</v>
      </c>
      <c r="E43">
        <f>COUNTIFS(
    INDEX(Table1[],,MATCH($B43,Table1[#Headers],0)), E$11,
    Table1[Do you have any experience in creating/designing art?], "No experience"
)</f>
        <v>4</v>
      </c>
      <c r="F43">
        <f>COUNTIFS(
    INDEX(Table1[],,MATCH($B43,Table1[#Headers],0)), F$11,
    Table1[Do you have any experience in creating/designing art?], "No experience"
)</f>
        <v>10</v>
      </c>
      <c r="I43" t="s">
        <v>130</v>
      </c>
      <c r="J43">
        <f>COUNTIFS(
    INDEX(Table1[],,MATCH($I43,Table1[#Headers],0)), J$11,
    Table1[Do you have any experience in creating/designing art?], "&lt;&gt;No experience"
)</f>
        <v>6</v>
      </c>
      <c r="K43">
        <f>COUNTIFS(
    INDEX(Table1[],,MATCH($I43,Table1[#Headers],0)), K$11,
    Table1[Do you have any experience in creating/designing art?], "&lt;&gt;No experience"
)</f>
        <v>3</v>
      </c>
      <c r="L43">
        <f>COUNTIFS(
    INDEX(Table1[],,MATCH($I43,Table1[#Headers],0)), L$11,
    Table1[Do you have any experience in creating/designing art?], "&lt;&gt;No experience"
)</f>
        <v>8</v>
      </c>
      <c r="M43">
        <f>COUNTIFS(
    INDEX(Table1[],,MATCH($I43,Table1[#Headers],0)), M$11,
    Table1[Do you have any experience in creating/designing art?], "&lt;&gt;No experience"
)</f>
        <v>4</v>
      </c>
      <c r="O43" s="2" t="s">
        <v>158</v>
      </c>
      <c r="P43" t="s">
        <v>136</v>
      </c>
      <c r="Q43" t="s">
        <v>151</v>
      </c>
      <c r="R43" t="s">
        <v>11</v>
      </c>
      <c r="S43" t="s">
        <v>13</v>
      </c>
      <c r="T43" t="s">
        <v>14</v>
      </c>
      <c r="U43" s="2"/>
      <c r="V43" t="s">
        <v>136</v>
      </c>
      <c r="W43" t="s">
        <v>151</v>
      </c>
      <c r="X43" t="s">
        <v>11</v>
      </c>
      <c r="Y43" t="s">
        <v>13</v>
      </c>
      <c r="Z43" t="s">
        <v>14</v>
      </c>
    </row>
    <row r="44" spans="2:26" x14ac:dyDescent="0.3">
      <c r="B44" t="s">
        <v>72</v>
      </c>
      <c r="C44">
        <f>COUNTIFS(
    INDEX(Table1[],,MATCH($B44,Table1[#Headers],0)), C$11,
    Table1[Do you have any experience in creating/designing art?], "No experience"
)</f>
        <v>5</v>
      </c>
      <c r="D44">
        <f>COUNTIFS(
    INDEX(Table1[],,MATCH($B44,Table1[#Headers],0)), D$11,
    Table1[Do you have any experience in creating/designing art?], "No experience"
)</f>
        <v>7</v>
      </c>
      <c r="E44">
        <f>COUNTIFS(
    INDEX(Table1[],,MATCH($B44,Table1[#Headers],0)), E$11,
    Table1[Do you have any experience in creating/designing art?], "No experience"
)</f>
        <v>9</v>
      </c>
      <c r="F44">
        <f>COUNTIFS(
    INDEX(Table1[],,MATCH($B44,Table1[#Headers],0)), F$11,
    Table1[Do you have any experience in creating/designing art?], "No experience"
)</f>
        <v>8</v>
      </c>
      <c r="I44" t="s">
        <v>72</v>
      </c>
      <c r="J44">
        <f>COUNTIFS(
    INDEX(Table1[],,MATCH($I44,Table1[#Headers],0)), J$11,
    Table1[Do you have any experience in creating/designing art?], "&lt;&gt;No experience"
)</f>
        <v>2</v>
      </c>
      <c r="K44">
        <f>COUNTIFS(
    INDEX(Table1[],,MATCH($I44,Table1[#Headers],0)), K$11,
    Table1[Do you have any experience in creating/designing art?], "&lt;&gt;No experience"
)</f>
        <v>4</v>
      </c>
      <c r="L44">
        <f>COUNTIFS(
    INDEX(Table1[],,MATCH($I44,Table1[#Headers],0)), L$11,
    Table1[Do you have any experience in creating/designing art?], "&lt;&gt;No experience"
)</f>
        <v>10</v>
      </c>
      <c r="M44">
        <f>COUNTIFS(
    INDEX(Table1[],,MATCH($I44,Table1[#Headers],0)), M$11,
    Table1[Do you have any experience in creating/designing art?], "&lt;&gt;No experience"
)</f>
        <v>5</v>
      </c>
      <c r="O44" s="2"/>
      <c r="P44" t="s">
        <v>65</v>
      </c>
      <c r="Q44">
        <f>3*R44+2*S44+T44</f>
        <v>550</v>
      </c>
      <c r="R44">
        <f>SUMIF($P$12:$P$41,"A*",Q$12:Q$41)</f>
        <v>95</v>
      </c>
      <c r="S44">
        <f t="shared" ref="S44:T44" si="0">SUMIF($P$12:$P$41,"A*",R$12:R$41)</f>
        <v>70</v>
      </c>
      <c r="T44">
        <f t="shared" si="0"/>
        <v>125</v>
      </c>
      <c r="U44" s="2"/>
      <c r="V44" t="s">
        <v>65</v>
      </c>
      <c r="W44">
        <f>3*X44+2*Y44+Z44</f>
        <v>400</v>
      </c>
      <c r="X44">
        <f>SUMIF($V$12:$V$41,"A*",W$12:W$41)</f>
        <v>66</v>
      </c>
      <c r="Y44">
        <f t="shared" ref="Y44:Z44" si="1">SUMIF($V$12:$V$41,"A*",X$12:X$41)</f>
        <v>58</v>
      </c>
      <c r="Z44">
        <f t="shared" si="1"/>
        <v>86</v>
      </c>
    </row>
    <row r="45" spans="2:26" x14ac:dyDescent="0.3">
      <c r="B45" t="s">
        <v>92</v>
      </c>
      <c r="C45">
        <f>COUNTIFS(
    INDEX(Table1[],,MATCH($B45,Table1[#Headers],0)), C$11,
    Table1[Do you have any experience in creating/designing art?], "No experience"
)</f>
        <v>5</v>
      </c>
      <c r="D45">
        <f>COUNTIFS(
    INDEX(Table1[],,MATCH($B45,Table1[#Headers],0)), D$11,
    Table1[Do you have any experience in creating/designing art?], "No experience"
)</f>
        <v>13</v>
      </c>
      <c r="E45">
        <f>COUNTIFS(
    INDEX(Table1[],,MATCH($B45,Table1[#Headers],0)), E$11,
    Table1[Do you have any experience in creating/designing art?], "No experience"
)</f>
        <v>9</v>
      </c>
      <c r="F45">
        <f>COUNTIFS(
    INDEX(Table1[],,MATCH($B45,Table1[#Headers],0)), F$11,
    Table1[Do you have any experience in creating/designing art?], "No experience"
)</f>
        <v>2</v>
      </c>
      <c r="I45" t="s">
        <v>92</v>
      </c>
      <c r="J45">
        <f>COUNTIFS(
    INDEX(Table1[],,MATCH($I45,Table1[#Headers],0)), J$11,
    Table1[Do you have any experience in creating/designing art?], "&lt;&gt;No experience"
)</f>
        <v>2</v>
      </c>
      <c r="K45">
        <f>COUNTIFS(
    INDEX(Table1[],,MATCH($I45,Table1[#Headers],0)), K$11,
    Table1[Do you have any experience in creating/designing art?], "&lt;&gt;No experience"
)</f>
        <v>13</v>
      </c>
      <c r="L45">
        <f>COUNTIFS(
    INDEX(Table1[],,MATCH($I45,Table1[#Headers],0)), L$11,
    Table1[Do you have any experience in creating/designing art?], "&lt;&gt;No experience"
)</f>
        <v>6</v>
      </c>
      <c r="M45">
        <f>COUNTIFS(
    INDEX(Table1[],,MATCH($I45,Table1[#Headers],0)), M$11,
    Table1[Do you have any experience in creating/designing art?], "&lt;&gt;No experience"
)</f>
        <v>0</v>
      </c>
      <c r="O45" s="2"/>
      <c r="P45" t="s">
        <v>85</v>
      </c>
      <c r="Q45">
        <f t="shared" ref="Q45:Q46" si="2">3*R45+2*S45+T45</f>
        <v>635</v>
      </c>
      <c r="R45">
        <f>SUMIF($P$12:$P$41,"B*",Q$12:Q$41)</f>
        <v>107</v>
      </c>
      <c r="S45">
        <f t="shared" ref="S45:T45" si="3">SUMIF($P$12:$P$41,"B*",R$12:R$41)</f>
        <v>131</v>
      </c>
      <c r="T45">
        <f t="shared" si="3"/>
        <v>52</v>
      </c>
      <c r="U45" s="2"/>
      <c r="V45" t="s">
        <v>85</v>
      </c>
      <c r="W45">
        <f t="shared" ref="W45:W46" si="4">3*X45+2*Y45+Z45</f>
        <v>446</v>
      </c>
      <c r="X45">
        <f>SUMIF($V$12:$V$41,"B*",W$12:W$41)</f>
        <v>72</v>
      </c>
      <c r="Y45">
        <f t="shared" ref="Y45:Z45" si="5">SUMIF($V$12:$V$41,"B*",X$12:X$41)</f>
        <v>92</v>
      </c>
      <c r="Z45">
        <f t="shared" si="5"/>
        <v>46</v>
      </c>
    </row>
    <row r="46" spans="2:26" x14ac:dyDescent="0.3">
      <c r="B46" t="s">
        <v>112</v>
      </c>
      <c r="C46">
        <f>COUNTIFS(
    INDEX(Table1[],,MATCH($B46,Table1[#Headers],0)), C$11,
    Table1[Do you have any experience in creating/designing art?], "No experience"
)</f>
        <v>2</v>
      </c>
      <c r="D46">
        <f>COUNTIFS(
    INDEX(Table1[],,MATCH($B46,Table1[#Headers],0)), D$11,
    Table1[Do you have any experience in creating/designing art?], "No experience"
)</f>
        <v>4</v>
      </c>
      <c r="E46">
        <f>COUNTIFS(
    INDEX(Table1[],,MATCH($B46,Table1[#Headers],0)), E$11,
    Table1[Do you have any experience in creating/designing art?], "No experience"
)</f>
        <v>6</v>
      </c>
      <c r="F46">
        <f>COUNTIFS(
    INDEX(Table1[],,MATCH($B46,Table1[#Headers],0)), F$11,
    Table1[Do you have any experience in creating/designing art?], "No experience"
)</f>
        <v>17</v>
      </c>
      <c r="I46" t="s">
        <v>112</v>
      </c>
      <c r="J46">
        <f>COUNTIFS(
    INDEX(Table1[],,MATCH($I46,Table1[#Headers],0)), J$11,
    Table1[Do you have any experience in creating/designing art?], "&lt;&gt;No experience"
)</f>
        <v>2</v>
      </c>
      <c r="K46">
        <f>COUNTIFS(
    INDEX(Table1[],,MATCH($I46,Table1[#Headers],0)), K$11,
    Table1[Do you have any experience in creating/designing art?], "&lt;&gt;No experience"
)</f>
        <v>2</v>
      </c>
      <c r="L46">
        <f>COUNTIFS(
    INDEX(Table1[],,MATCH($I46,Table1[#Headers],0)), L$11,
    Table1[Do you have any experience in creating/designing art?], "&lt;&gt;No experience"
)</f>
        <v>6</v>
      </c>
      <c r="M46">
        <f>COUNTIFS(
    INDEX(Table1[],,MATCH($I46,Table1[#Headers],0)), M$11,
    Table1[Do you have any experience in creating/designing art?], "&lt;&gt;No experience"
)</f>
        <v>11</v>
      </c>
      <c r="O46" s="2"/>
      <c r="P46" t="s">
        <v>105</v>
      </c>
      <c r="Q46">
        <f t="shared" si="2"/>
        <v>564</v>
      </c>
      <c r="R46">
        <f>SUMIF($P$12:$P$41,"C*",Q$12:Q$41)</f>
        <v>94</v>
      </c>
      <c r="S46">
        <f t="shared" ref="S46:T46" si="6">SUMIF($P$12:$P$41,"C*",R$12:R$41)</f>
        <v>86</v>
      </c>
      <c r="T46">
        <f t="shared" si="6"/>
        <v>110</v>
      </c>
      <c r="U46" s="2"/>
      <c r="V46" t="s">
        <v>105</v>
      </c>
      <c r="W46">
        <f t="shared" si="4"/>
        <v>397</v>
      </c>
      <c r="X46">
        <f>SUMIF($V$12:$V$41,"C*",W$12:W$41)</f>
        <v>64</v>
      </c>
      <c r="Y46">
        <f t="shared" ref="Y46:Z46" si="7">SUMIF($V$12:$V$41,"C*",X$12:X$41)</f>
        <v>59</v>
      </c>
      <c r="Z46">
        <f t="shared" si="7"/>
        <v>87</v>
      </c>
    </row>
    <row r="47" spans="2:26" x14ac:dyDescent="0.3">
      <c r="B47" t="s">
        <v>132</v>
      </c>
      <c r="C47">
        <f>COUNTIFS(
    INDEX(Table1[],,MATCH($B47,Table1[#Headers],0)), C$11,
    Table1[Do you have any experience in creating/designing art?], "No experience"
)</f>
        <v>16</v>
      </c>
      <c r="D47">
        <f>COUNTIFS(
    INDEX(Table1[],,MATCH($B47,Table1[#Headers],0)), D$11,
    Table1[Do you have any experience in creating/designing art?], "No experience"
)</f>
        <v>2</v>
      </c>
      <c r="E47">
        <f>COUNTIFS(
    INDEX(Table1[],,MATCH($B47,Table1[#Headers],0)), E$11,
    Table1[Do you have any experience in creating/designing art?], "No experience"
)</f>
        <v>4</v>
      </c>
      <c r="F47">
        <f>COUNTIFS(
    INDEX(Table1[],,MATCH($B47,Table1[#Headers],0)), F$11,
    Table1[Do you have any experience in creating/designing art?], "No experience"
)</f>
        <v>7</v>
      </c>
      <c r="I47" t="s">
        <v>132</v>
      </c>
      <c r="J47">
        <f>COUNTIFS(
    INDEX(Table1[],,MATCH($I47,Table1[#Headers],0)), J$11,
    Table1[Do you have any experience in creating/designing art?], "&lt;&gt;No experience"
)</f>
        <v>13</v>
      </c>
      <c r="K47">
        <f>COUNTIFS(
    INDEX(Table1[],,MATCH($I47,Table1[#Headers],0)), K$11,
    Table1[Do you have any experience in creating/designing art?], "&lt;&gt;No experience"
)</f>
        <v>3</v>
      </c>
      <c r="L47">
        <f>COUNTIFS(
    INDEX(Table1[],,MATCH($I47,Table1[#Headers],0)), L$11,
    Table1[Do you have any experience in creating/designing art?], "&lt;&gt;No experience"
)</f>
        <v>1</v>
      </c>
      <c r="M47">
        <f>COUNTIFS(
    INDEX(Table1[],,MATCH($I47,Table1[#Headers],0)), M$11,
    Table1[Do you have any experience in creating/designing art?], "&lt;&gt;No experience"
)</f>
        <v>4</v>
      </c>
    </row>
    <row r="48" spans="2:26" x14ac:dyDescent="0.3">
      <c r="B48" t="s">
        <v>74</v>
      </c>
      <c r="C48">
        <f>COUNTIFS(
    INDEX(Table1[],,MATCH($B48,Table1[#Headers],0)), C$11,
    Table1[Do you have any experience in creating/designing art?], "No experience"
)</f>
        <v>7</v>
      </c>
      <c r="D48">
        <f>COUNTIFS(
    INDEX(Table1[],,MATCH($B48,Table1[#Headers],0)), D$11,
    Table1[Do you have any experience in creating/designing art?], "No experience"
)</f>
        <v>6</v>
      </c>
      <c r="E48">
        <f>COUNTIFS(
    INDEX(Table1[],,MATCH($B48,Table1[#Headers],0)), E$11,
    Table1[Do you have any experience in creating/designing art?], "No experience"
)</f>
        <v>1</v>
      </c>
      <c r="F48">
        <f>COUNTIFS(
    INDEX(Table1[],,MATCH($B48,Table1[#Headers],0)), F$11,
    Table1[Do you have any experience in creating/designing art?], "No experience"
)</f>
        <v>15</v>
      </c>
      <c r="I48" t="s">
        <v>74</v>
      </c>
      <c r="J48">
        <f>COUNTIFS(
    INDEX(Table1[],,MATCH($I48,Table1[#Headers],0)), J$11,
    Table1[Do you have any experience in creating/designing art?], "&lt;&gt;No experience"
)</f>
        <v>4</v>
      </c>
      <c r="K48">
        <f>COUNTIFS(
    INDEX(Table1[],,MATCH($I48,Table1[#Headers],0)), K$11,
    Table1[Do you have any experience in creating/designing art?], "&lt;&gt;No experience"
)</f>
        <v>5</v>
      </c>
      <c r="L48">
        <f>COUNTIFS(
    INDEX(Table1[],,MATCH($I48,Table1[#Headers],0)), L$11,
    Table1[Do you have any experience in creating/designing art?], "&lt;&gt;No experience"
)</f>
        <v>4</v>
      </c>
      <c r="M48">
        <f>COUNTIFS(
    INDEX(Table1[],,MATCH($I48,Table1[#Headers],0)), M$11,
    Table1[Do you have any experience in creating/designing art?], "&lt;&gt;No experience"
)</f>
        <v>8</v>
      </c>
    </row>
    <row r="49" spans="1:14" x14ac:dyDescent="0.3">
      <c r="B49" t="s">
        <v>94</v>
      </c>
      <c r="C49">
        <f>COUNTIFS(
    INDEX(Table1[],,MATCH($B49,Table1[#Headers],0)), C$11,
    Table1[Do you have any experience in creating/designing art?], "No experience"
)</f>
        <v>5</v>
      </c>
      <c r="D49">
        <f>COUNTIFS(
    INDEX(Table1[],,MATCH($B49,Table1[#Headers],0)), D$11,
    Table1[Do you have any experience in creating/designing art?], "No experience"
)</f>
        <v>7</v>
      </c>
      <c r="E49">
        <f>COUNTIFS(
    INDEX(Table1[],,MATCH($B49,Table1[#Headers],0)), E$11,
    Table1[Do you have any experience in creating/designing art?], "No experience"
)</f>
        <v>10</v>
      </c>
      <c r="F49">
        <f>COUNTIFS(
    INDEX(Table1[],,MATCH($B49,Table1[#Headers],0)), F$11,
    Table1[Do you have any experience in creating/designing art?], "No experience"
)</f>
        <v>7</v>
      </c>
      <c r="I49" t="s">
        <v>94</v>
      </c>
      <c r="J49">
        <f>COUNTIFS(
    INDEX(Table1[],,MATCH($I49,Table1[#Headers],0)), J$11,
    Table1[Do you have any experience in creating/designing art?], "&lt;&gt;No experience"
)</f>
        <v>8</v>
      </c>
      <c r="K49">
        <f>COUNTIFS(
    INDEX(Table1[],,MATCH($I49,Table1[#Headers],0)), K$11,
    Table1[Do you have any experience in creating/designing art?], "&lt;&gt;No experience"
)</f>
        <v>5</v>
      </c>
      <c r="L49">
        <f>COUNTIFS(
    INDEX(Table1[],,MATCH($I49,Table1[#Headers],0)), L$11,
    Table1[Do you have any experience in creating/designing art?], "&lt;&gt;No experience"
)</f>
        <v>4</v>
      </c>
      <c r="M49">
        <f>COUNTIFS(
    INDEX(Table1[],,MATCH($I49,Table1[#Headers],0)), M$11,
    Table1[Do you have any experience in creating/designing art?], "&lt;&gt;No experience"
)</f>
        <v>4</v>
      </c>
    </row>
    <row r="50" spans="1:14" x14ac:dyDescent="0.3">
      <c r="B50" t="s">
        <v>114</v>
      </c>
      <c r="C50">
        <f>COUNTIFS(
    INDEX(Table1[],,MATCH($B50,Table1[#Headers],0)), C$11,
    Table1[Do you have any experience in creating/designing art?], "No experience"
)</f>
        <v>4</v>
      </c>
      <c r="D50">
        <f>COUNTIFS(
    INDEX(Table1[],,MATCH($B50,Table1[#Headers],0)), D$11,
    Table1[Do you have any experience in creating/designing art?], "No experience"
)</f>
        <v>14</v>
      </c>
      <c r="E50">
        <f>COUNTIFS(
    INDEX(Table1[],,MATCH($B50,Table1[#Headers],0)), E$11,
    Table1[Do you have any experience in creating/designing art?], "No experience"
)</f>
        <v>7</v>
      </c>
      <c r="F50">
        <f>COUNTIFS(
    INDEX(Table1[],,MATCH($B50,Table1[#Headers],0)), F$11,
    Table1[Do you have any experience in creating/designing art?], "No experience"
)</f>
        <v>4</v>
      </c>
      <c r="I50" t="s">
        <v>114</v>
      </c>
      <c r="J50">
        <f>COUNTIFS(
    INDEX(Table1[],,MATCH($I50,Table1[#Headers],0)), J$11,
    Table1[Do you have any experience in creating/designing art?], "&lt;&gt;No experience"
)</f>
        <v>4</v>
      </c>
      <c r="K50">
        <f>COUNTIFS(
    INDEX(Table1[],,MATCH($I50,Table1[#Headers],0)), K$11,
    Table1[Do you have any experience in creating/designing art?], "&lt;&gt;No experience"
)</f>
        <v>3</v>
      </c>
      <c r="L50">
        <f>COUNTIFS(
    INDEX(Table1[],,MATCH($I50,Table1[#Headers],0)), L$11,
    Table1[Do you have any experience in creating/designing art?], "&lt;&gt;No experience"
)</f>
        <v>8</v>
      </c>
      <c r="M50">
        <f>COUNTIFS(
    INDEX(Table1[],,MATCH($I50,Table1[#Headers],0)), M$11,
    Table1[Do you have any experience in creating/designing art?], "&lt;&gt;No experience"
)</f>
        <v>6</v>
      </c>
    </row>
    <row r="51" spans="1:14" x14ac:dyDescent="0.3">
      <c r="B51" t="s">
        <v>134</v>
      </c>
      <c r="C51">
        <f>COUNTIFS(
    INDEX(Table1[],,MATCH($B51,Table1[#Headers],0)), C$11,
    Table1[Do you have any experience in creating/designing art?], "No experience"
)</f>
        <v>12</v>
      </c>
      <c r="D51">
        <f>COUNTIFS(
    INDEX(Table1[],,MATCH($B51,Table1[#Headers],0)), D$11,
    Table1[Do you have any experience in creating/designing art?], "No experience"
)</f>
        <v>5</v>
      </c>
      <c r="E51">
        <f>COUNTIFS(
    INDEX(Table1[],,MATCH($B51,Table1[#Headers],0)), E$11,
    Table1[Do you have any experience in creating/designing art?], "No experience"
)</f>
        <v>10</v>
      </c>
      <c r="F51">
        <f>COUNTIFS(
    INDEX(Table1[],,MATCH($B51,Table1[#Headers],0)), F$11,
    Table1[Do you have any experience in creating/designing art?], "No experience"
)</f>
        <v>2</v>
      </c>
      <c r="I51" t="s">
        <v>134</v>
      </c>
      <c r="J51">
        <f>COUNTIFS(
    INDEX(Table1[],,MATCH($I51,Table1[#Headers],0)), J$11,
    Table1[Do you have any experience in creating/designing art?], "&lt;&gt;No experience"
)</f>
        <v>4</v>
      </c>
      <c r="K51">
        <f>COUNTIFS(
    INDEX(Table1[],,MATCH($I51,Table1[#Headers],0)), K$11,
    Table1[Do you have any experience in creating/designing art?], "&lt;&gt;No experience"
)</f>
        <v>8</v>
      </c>
      <c r="L51">
        <f>COUNTIFS(
    INDEX(Table1[],,MATCH($I51,Table1[#Headers],0)), L$11,
    Table1[Do you have any experience in creating/designing art?], "&lt;&gt;No experience"
)</f>
        <v>4</v>
      </c>
      <c r="M51">
        <f>COUNTIFS(
    INDEX(Table1[],,MATCH($I51,Table1[#Headers],0)), M$11,
    Table1[Do you have any experience in creating/designing art?], "&lt;&gt;No experience"
)</f>
        <v>5</v>
      </c>
    </row>
    <row r="53" spans="1:14" x14ac:dyDescent="0.3">
      <c r="A53" s="1" t="s">
        <v>159</v>
      </c>
      <c r="B53" s="2"/>
      <c r="C53" s="2" t="s">
        <v>11</v>
      </c>
      <c r="D53" s="2" t="s">
        <v>13</v>
      </c>
      <c r="E53" s="2" t="s">
        <v>14</v>
      </c>
      <c r="F53" s="2" t="s">
        <v>12</v>
      </c>
      <c r="G53" s="2"/>
      <c r="H53" s="2"/>
      <c r="I53" s="2"/>
      <c r="J53" s="2" t="s">
        <v>11</v>
      </c>
      <c r="K53" s="2" t="s">
        <v>13</v>
      </c>
      <c r="L53" s="2" t="s">
        <v>14</v>
      </c>
      <c r="M53" s="2" t="s">
        <v>12</v>
      </c>
      <c r="N53" s="2"/>
    </row>
    <row r="54" spans="1:14" x14ac:dyDescent="0.3">
      <c r="A54" s="1"/>
      <c r="B54" t="s">
        <v>139</v>
      </c>
      <c r="C54">
        <f>SUMIF($B$12:$B$31,"A*",C$12:C$31)</f>
        <v>64</v>
      </c>
      <c r="D54">
        <f t="shared" ref="D54" si="8">SUMIF($B$12:$B$31,"A*",D$12:D$31)</f>
        <v>31</v>
      </c>
      <c r="E54">
        <f>SUMIF($B$12:$B$31,"A*",E$12:E$31)</f>
        <v>25</v>
      </c>
      <c r="F54">
        <f>SUMIF($B$12:$B$31,"A*",F$12:F$31)</f>
        <v>25</v>
      </c>
      <c r="G54" s="2"/>
      <c r="H54" s="2"/>
      <c r="I54" t="s">
        <v>139</v>
      </c>
      <c r="J54">
        <f>SUMIF($I$12:$I$31,"A*",J$12:J$31)</f>
        <v>48</v>
      </c>
      <c r="K54">
        <f t="shared" ref="K54:M54" si="9">SUMIF($I$12:$I$31,"A*",K$12:K$31)</f>
        <v>27</v>
      </c>
      <c r="L54">
        <f t="shared" si="9"/>
        <v>17</v>
      </c>
      <c r="M54">
        <f t="shared" si="9"/>
        <v>13</v>
      </c>
      <c r="N54" s="2"/>
    </row>
    <row r="55" spans="1:14" x14ac:dyDescent="0.3">
      <c r="A55" s="1"/>
      <c r="B55" t="s">
        <v>140</v>
      </c>
      <c r="C55">
        <f>SUMIF($B$12:$B$31,"B*",C$12:C$31)</f>
        <v>20</v>
      </c>
      <c r="D55">
        <f t="shared" ref="D55:F55" si="10">SUMIF($B$12:$B$31,"B*",D$12:D$31)</f>
        <v>26</v>
      </c>
      <c r="E55">
        <f t="shared" si="10"/>
        <v>28</v>
      </c>
      <c r="F55">
        <f t="shared" si="10"/>
        <v>71</v>
      </c>
      <c r="G55" s="2"/>
      <c r="H55" s="2"/>
      <c r="I55" t="s">
        <v>140</v>
      </c>
      <c r="J55">
        <f>SUMIF($I$12:$I$31,"B*",J$12:J$31)</f>
        <v>17</v>
      </c>
      <c r="K55">
        <f t="shared" ref="K55:M55" si="11">SUMIF($I$12:$I$31,"B*",K$12:K$31)</f>
        <v>16</v>
      </c>
      <c r="L55">
        <f t="shared" si="11"/>
        <v>20</v>
      </c>
      <c r="M55">
        <f t="shared" si="11"/>
        <v>52</v>
      </c>
      <c r="N55" s="2"/>
    </row>
    <row r="56" spans="1:14" x14ac:dyDescent="0.3">
      <c r="A56" s="1"/>
      <c r="B56" t="s">
        <v>141</v>
      </c>
      <c r="C56">
        <f>SUMIF($B$12:$B$31,"C*",C$12:C$31)</f>
        <v>30</v>
      </c>
      <c r="D56">
        <f t="shared" ref="D56:F56" si="12">SUMIF($B$12:$B$31,"C*",D$12:D$31)</f>
        <v>51</v>
      </c>
      <c r="E56">
        <f t="shared" si="12"/>
        <v>40</v>
      </c>
      <c r="F56">
        <f t="shared" si="12"/>
        <v>24</v>
      </c>
      <c r="G56" s="2"/>
      <c r="H56" s="2"/>
      <c r="I56" t="s">
        <v>141</v>
      </c>
      <c r="J56">
        <f>SUMIF($I$12:$I$31,"C*",J$12:J$31)</f>
        <v>19</v>
      </c>
      <c r="K56">
        <f t="shared" ref="K56:M56" si="13">SUMIF($I$12:$I$31,"C*",K$12:K$31)</f>
        <v>45</v>
      </c>
      <c r="L56">
        <f t="shared" si="13"/>
        <v>27</v>
      </c>
      <c r="M56">
        <f t="shared" si="13"/>
        <v>14</v>
      </c>
      <c r="N56" s="2"/>
    </row>
    <row r="57" spans="1:14" x14ac:dyDescent="0.3">
      <c r="A57" s="1"/>
      <c r="B57" t="s">
        <v>142</v>
      </c>
      <c r="C57">
        <f>SUMIF($B$12:$B$31,"D*",C$12:C$31)</f>
        <v>28</v>
      </c>
      <c r="D57">
        <f t="shared" ref="D57:F57" si="14">SUMIF($B$12:$B$31,"D*",D$12:D$31)</f>
        <v>35</v>
      </c>
      <c r="E57">
        <f t="shared" si="14"/>
        <v>52</v>
      </c>
      <c r="F57">
        <f t="shared" si="14"/>
        <v>30</v>
      </c>
      <c r="G57" s="2"/>
      <c r="H57" s="2"/>
      <c r="I57" t="s">
        <v>142</v>
      </c>
      <c r="J57">
        <f>SUMIF($I$12:$I$31,"D*",J$12:J$31)</f>
        <v>19</v>
      </c>
      <c r="K57">
        <f t="shared" ref="K57:M57" si="15">SUMIF($I$12:$I$31,"D*",K$12:K$31)</f>
        <v>19</v>
      </c>
      <c r="L57">
        <f t="shared" si="15"/>
        <v>36</v>
      </c>
      <c r="M57">
        <f t="shared" si="15"/>
        <v>31</v>
      </c>
      <c r="N57" s="2"/>
    </row>
    <row r="58" spans="1:14" x14ac:dyDescent="0.3">
      <c r="A58" s="1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</row>
    <row r="59" spans="1:14" x14ac:dyDescent="0.3">
      <c r="A59" t="s">
        <v>160</v>
      </c>
      <c r="B59" s="2"/>
      <c r="C59" s="2" t="s">
        <v>11</v>
      </c>
      <c r="D59" s="2" t="s">
        <v>13</v>
      </c>
      <c r="E59" s="2" t="s">
        <v>14</v>
      </c>
      <c r="F59" s="2" t="s">
        <v>12</v>
      </c>
      <c r="J59" t="s">
        <v>11</v>
      </c>
      <c r="K59" t="s">
        <v>13</v>
      </c>
      <c r="L59" t="s">
        <v>14</v>
      </c>
      <c r="M59" t="s">
        <v>12</v>
      </c>
    </row>
    <row r="60" spans="1:14" x14ac:dyDescent="0.3">
      <c r="B60" t="s">
        <v>143</v>
      </c>
      <c r="C60" s="2">
        <f>SUMIF($B$32:$B$51,"A*",C$32:C$51)</f>
        <v>60</v>
      </c>
      <c r="D60" s="2">
        <f t="shared" ref="D60:F60" si="16">SUMIF($B$32:$B$51,"A*",D$32:D$51)</f>
        <v>31</v>
      </c>
      <c r="E60" s="2">
        <f t="shared" si="16"/>
        <v>26</v>
      </c>
      <c r="F60" s="2">
        <f t="shared" si="16"/>
        <v>28</v>
      </c>
      <c r="H60" s="2"/>
      <c r="I60" t="s">
        <v>143</v>
      </c>
      <c r="J60" s="2">
        <f>SUMIF($I$32:$I$51,"A*",J$32:J$51)</f>
        <v>38</v>
      </c>
      <c r="K60" s="2">
        <f t="shared" ref="K60:M60" si="17">SUMIF($I$32:$I$51,"A*",K$32:K$51)</f>
        <v>22</v>
      </c>
      <c r="L60" s="2">
        <f t="shared" si="17"/>
        <v>25</v>
      </c>
      <c r="M60" s="2">
        <f t="shared" si="17"/>
        <v>20</v>
      </c>
    </row>
    <row r="61" spans="1:14" x14ac:dyDescent="0.3">
      <c r="B61" t="s">
        <v>144</v>
      </c>
      <c r="C61" s="2">
        <f>SUMIF($B$32:$B$51,"B*",C$32:C$51)</f>
        <v>16</v>
      </c>
      <c r="D61" s="2">
        <f t="shared" ref="D61:F61" si="18">SUMIF($B$32:$B$51,"B*",D$32:D$51)</f>
        <v>40</v>
      </c>
      <c r="E61" s="2">
        <f t="shared" si="18"/>
        <v>53</v>
      </c>
      <c r="F61" s="2">
        <f t="shared" si="18"/>
        <v>36</v>
      </c>
      <c r="I61" t="s">
        <v>144</v>
      </c>
      <c r="J61" s="2">
        <f>SUMIF($I$32:$I$51,"B*",J$32:J$51)</f>
        <v>16</v>
      </c>
      <c r="K61" s="2">
        <f t="shared" ref="K61:M61" si="19">SUMIF($I$32:$I$51,"B*",K$32:K$51)</f>
        <v>35</v>
      </c>
      <c r="L61" s="2">
        <f t="shared" si="19"/>
        <v>31</v>
      </c>
      <c r="M61" s="2">
        <f t="shared" si="19"/>
        <v>23</v>
      </c>
    </row>
    <row r="62" spans="1:14" x14ac:dyDescent="0.3">
      <c r="B62" t="s">
        <v>145</v>
      </c>
      <c r="C62" s="2">
        <f>SUMIF($B$32:$B$51,"C*",C$32:C$51)</f>
        <v>15</v>
      </c>
      <c r="D62" s="2">
        <f t="shared" ref="D62:F62" si="20">SUMIF($B$32:$B$51,"C*",D$32:D$51)</f>
        <v>39</v>
      </c>
      <c r="E62" s="2">
        <f t="shared" si="20"/>
        <v>32</v>
      </c>
      <c r="F62" s="2">
        <f t="shared" si="20"/>
        <v>59</v>
      </c>
      <c r="I62" t="s">
        <v>145</v>
      </c>
      <c r="J62" s="2">
        <f>SUMIF($I$32:$I$51,"C*",J$32:J$51)</f>
        <v>8</v>
      </c>
      <c r="K62" s="2">
        <f t="shared" ref="K62:M62" si="21">SUMIF($I$32:$I$51,"C*",K$32:K$51)</f>
        <v>25</v>
      </c>
      <c r="L62" s="2">
        <f t="shared" si="21"/>
        <v>28</v>
      </c>
      <c r="M62" s="2">
        <f t="shared" si="21"/>
        <v>44</v>
      </c>
    </row>
    <row r="63" spans="1:14" x14ac:dyDescent="0.3">
      <c r="B63" t="s">
        <v>146</v>
      </c>
      <c r="C63" s="2">
        <f>SUMIF($B$32:$B$51,"D*",C$32:C$51)</f>
        <v>52</v>
      </c>
      <c r="D63" s="2">
        <f t="shared" ref="D63:F63" si="22">SUMIF($B$32:$B$51,"D*",D$32:D$51)</f>
        <v>33</v>
      </c>
      <c r="E63" s="2">
        <f t="shared" si="22"/>
        <v>33</v>
      </c>
      <c r="F63" s="2">
        <f t="shared" si="22"/>
        <v>27</v>
      </c>
      <c r="I63" t="s">
        <v>146</v>
      </c>
      <c r="J63" s="2">
        <f>SUMIF($I$32:$I$51,"D*",J$32:J$51)</f>
        <v>34</v>
      </c>
      <c r="K63" s="2">
        <f t="shared" ref="K63:M63" si="23">SUMIF($I$32:$I$51,"D*",K$32:K$51)</f>
        <v>25</v>
      </c>
      <c r="L63" s="2">
        <f t="shared" si="23"/>
        <v>25</v>
      </c>
      <c r="M63" s="2">
        <f t="shared" si="23"/>
        <v>21</v>
      </c>
    </row>
    <row r="65" spans="1:14" x14ac:dyDescent="0.3">
      <c r="C65" s="2" t="s">
        <v>11</v>
      </c>
      <c r="D65" s="2" t="s">
        <v>13</v>
      </c>
      <c r="E65" s="2" t="s">
        <v>14</v>
      </c>
      <c r="F65" s="2" t="s">
        <v>12</v>
      </c>
      <c r="G65" s="2" t="s">
        <v>151</v>
      </c>
      <c r="J65" s="2" t="s">
        <v>11</v>
      </c>
      <c r="K65" s="2" t="s">
        <v>13</v>
      </c>
      <c r="L65" s="2" t="s">
        <v>14</v>
      </c>
      <c r="M65" s="2" t="s">
        <v>12</v>
      </c>
      <c r="N65" s="2" t="s">
        <v>151</v>
      </c>
    </row>
    <row r="66" spans="1:14" x14ac:dyDescent="0.3">
      <c r="A66" t="s">
        <v>158</v>
      </c>
      <c r="B66" t="s">
        <v>147</v>
      </c>
      <c r="C66">
        <f>C63+C54</f>
        <v>116</v>
      </c>
      <c r="D66">
        <f t="shared" ref="D66:F66" si="24">D63+D54</f>
        <v>64</v>
      </c>
      <c r="E66">
        <f t="shared" si="24"/>
        <v>58</v>
      </c>
      <c r="F66">
        <f t="shared" si="24"/>
        <v>52</v>
      </c>
      <c r="G66">
        <f>4*C66+3*D66+2*E66+F66</f>
        <v>824</v>
      </c>
      <c r="I66" t="s">
        <v>147</v>
      </c>
      <c r="J66">
        <f>J63+J54</f>
        <v>82</v>
      </c>
      <c r="K66">
        <f t="shared" ref="K66:M66" si="25">K63+K54</f>
        <v>52</v>
      </c>
      <c r="L66">
        <f t="shared" si="25"/>
        <v>42</v>
      </c>
      <c r="M66">
        <f t="shared" si="25"/>
        <v>34</v>
      </c>
      <c r="N66">
        <f>4*J66+3*K66+2*L66+M66</f>
        <v>602</v>
      </c>
    </row>
    <row r="67" spans="1:14" x14ac:dyDescent="0.3">
      <c r="B67" t="s">
        <v>148</v>
      </c>
      <c r="C67">
        <f>C62+C55</f>
        <v>35</v>
      </c>
      <c r="D67">
        <f t="shared" ref="D67:F67" si="26">D62+D55</f>
        <v>65</v>
      </c>
      <c r="E67">
        <f t="shared" si="26"/>
        <v>60</v>
      </c>
      <c r="F67">
        <f t="shared" si="26"/>
        <v>130</v>
      </c>
      <c r="G67">
        <f t="shared" ref="G67:G69" si="27">4*C67+3*D67+2*E67+F67</f>
        <v>585</v>
      </c>
      <c r="I67" t="s">
        <v>148</v>
      </c>
      <c r="J67">
        <f>J62+J55</f>
        <v>25</v>
      </c>
      <c r="K67">
        <f t="shared" ref="K67:M67" si="28">K62+K55</f>
        <v>41</v>
      </c>
      <c r="L67">
        <f t="shared" si="28"/>
        <v>48</v>
      </c>
      <c r="M67">
        <f t="shared" si="28"/>
        <v>96</v>
      </c>
      <c r="N67">
        <f t="shared" ref="N67:N69" si="29">4*J67+3*K67+2*L67+M67</f>
        <v>415</v>
      </c>
    </row>
    <row r="68" spans="1:14" x14ac:dyDescent="0.3">
      <c r="B68" t="s">
        <v>149</v>
      </c>
      <c r="C68">
        <f>C60+C57</f>
        <v>88</v>
      </c>
      <c r="D68">
        <f t="shared" ref="D68:F68" si="30">D60+D57</f>
        <v>66</v>
      </c>
      <c r="E68">
        <f t="shared" si="30"/>
        <v>78</v>
      </c>
      <c r="F68">
        <f t="shared" si="30"/>
        <v>58</v>
      </c>
      <c r="G68">
        <f t="shared" si="27"/>
        <v>764</v>
      </c>
      <c r="I68" t="s">
        <v>149</v>
      </c>
      <c r="J68">
        <f>J60+J57</f>
        <v>57</v>
      </c>
      <c r="K68">
        <f t="shared" ref="K68:M68" si="31">K60+K57</f>
        <v>41</v>
      </c>
      <c r="L68">
        <f t="shared" si="31"/>
        <v>61</v>
      </c>
      <c r="M68">
        <f t="shared" si="31"/>
        <v>51</v>
      </c>
      <c r="N68">
        <f t="shared" si="29"/>
        <v>524</v>
      </c>
    </row>
    <row r="69" spans="1:14" x14ac:dyDescent="0.3">
      <c r="B69" t="s">
        <v>150</v>
      </c>
      <c r="C69">
        <f>C61+C56</f>
        <v>46</v>
      </c>
      <c r="D69">
        <f t="shared" ref="D69:F69" si="32">D61+D56</f>
        <v>91</v>
      </c>
      <c r="E69">
        <f t="shared" si="32"/>
        <v>93</v>
      </c>
      <c r="F69">
        <f t="shared" si="32"/>
        <v>60</v>
      </c>
      <c r="G69">
        <f t="shared" si="27"/>
        <v>703</v>
      </c>
      <c r="I69" t="s">
        <v>150</v>
      </c>
      <c r="J69">
        <f>J61+J56</f>
        <v>35</v>
      </c>
      <c r="K69">
        <f t="shared" ref="K69:M69" si="33">K61+K56</f>
        <v>80</v>
      </c>
      <c r="L69">
        <f t="shared" si="33"/>
        <v>58</v>
      </c>
      <c r="M69">
        <f t="shared" si="33"/>
        <v>37</v>
      </c>
      <c r="N69">
        <f t="shared" si="29"/>
        <v>533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Raw Data</vt:lpstr>
      <vt:lpstr>Processed Data</vt:lpstr>
      <vt:lpstr>Tally Count</vt:lpstr>
      <vt:lpstr>Adapter Comparison General</vt:lpstr>
      <vt:lpstr>Model Comparison General</vt:lpstr>
      <vt:lpstr>Age Sub Group</vt:lpstr>
      <vt:lpstr>Experience Sub Group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KENNARD YERIEL</dc:creator>
  <cp:lastModifiedBy>KENNARD YERIEL</cp:lastModifiedBy>
  <dcterms:created xsi:type="dcterms:W3CDTF">2026-06-27T04:20:33Z</dcterms:created>
  <dcterms:modified xsi:type="dcterms:W3CDTF">2026-06-27T23:50:27Z</dcterms:modified>
</cp:coreProperties>
</file>